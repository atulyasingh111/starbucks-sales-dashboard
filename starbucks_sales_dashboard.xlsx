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hidePivotFieldList="1"/>
  <mc:AlternateContent xmlns:mc="http://schemas.openxmlformats.org/markup-compatibility/2006">
    <mc:Choice Requires="x15">
      <x15ac:absPath xmlns:x15ac="http://schemas.microsoft.com/office/spreadsheetml/2010/11/ac" url="/Users/atulyasingh/Downloads/"/>
    </mc:Choice>
  </mc:AlternateContent>
  <xr:revisionPtr revIDLastSave="0" documentId="13_ncr:1_{1185A811-BD10-D34A-8E34-49FE23D6604B}" xr6:coauthVersionLast="47" xr6:coauthVersionMax="47" xr10:uidLastSave="{00000000-0000-0000-0000-000000000000}"/>
  <bookViews>
    <workbookView xWindow="0" yWindow="760" windowWidth="29400" windowHeight="16640" tabRatio="500" xr2:uid="{00000000-000D-0000-FFFF-FFFF00000000}"/>
  </bookViews>
  <sheets>
    <sheet name="📊 Dashboard" sheetId="1" r:id="rId1"/>
    <sheet name="PIVOT TABLES" sheetId="5" r:id="rId2"/>
    <sheet name="Sales Transactions" sheetId="2" r:id="rId3"/>
    <sheet name="Region-Wise Report" sheetId="3" r:id="rId4"/>
    <sheet name="Date-Wise Report" sheetId="4" r:id="rId5"/>
  </sheets>
  <definedNames>
    <definedName name="_xlnm._FilterDatabase" localSheetId="4" hidden="1">'Date-Wise Report'!$A$4:$G$22</definedName>
    <definedName name="_xlnm._FilterDatabase" localSheetId="3" hidden="1">'Region-Wise Report'!$A$4:$J$9</definedName>
    <definedName name="_xlnm._FilterDatabase" localSheetId="2" hidden="1">'Sales Transactions'!$A$3:$I$282</definedName>
    <definedName name="Slicer_Category">#N/A</definedName>
    <definedName name="Slicer_Payment_Method">#N/A</definedName>
    <definedName name="Slicer_Region">#N/A</definedName>
    <definedName name="Slicer_Store_Name">#N/A</definedName>
  </definedNames>
  <calcPr calcId="191029" iterateDelta="1E-4"/>
  <pivotCaches>
    <pivotCache cacheId="9"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3" i="4" l="1"/>
  <c r="E23" i="4"/>
  <c r="D23" i="4"/>
  <c r="G22" i="4"/>
  <c r="G21" i="4"/>
  <c r="G20" i="4"/>
  <c r="G19" i="4"/>
  <c r="G18" i="4"/>
  <c r="G17" i="4"/>
  <c r="G16" i="4"/>
  <c r="G15" i="4"/>
  <c r="G14" i="4"/>
  <c r="G13" i="4"/>
  <c r="G12" i="4"/>
  <c r="G11" i="4"/>
  <c r="G10" i="4"/>
  <c r="G9" i="4"/>
  <c r="G8" i="4"/>
  <c r="G7" i="4"/>
  <c r="G6" i="4"/>
  <c r="J10" i="3"/>
  <c r="I10" i="3"/>
  <c r="H10" i="3"/>
  <c r="G10" i="3"/>
  <c r="F10" i="3"/>
  <c r="E10" i="3"/>
  <c r="D10" i="3"/>
  <c r="C10" i="3"/>
  <c r="B10" i="3"/>
</calcChain>
</file>

<file path=xl/sharedStrings.xml><?xml version="1.0" encoding="utf-8"?>
<sst xmlns="http://schemas.openxmlformats.org/spreadsheetml/2006/main" count="1891" uniqueCount="646">
  <si>
    <t>☕  STARBUCKS SALES PERFORMANCE DASHBOARD</t>
  </si>
  <si>
    <t>💰 TOTAL REVENUE</t>
  </si>
  <si>
    <t>🧾 TRANSACTIONS</t>
  </si>
  <si>
    <t>📦 UNITS SOLD</t>
  </si>
  <si>
    <t>📈 AVG SALE VALUE</t>
  </si>
  <si>
    <t>REGION PERFORMANCE</t>
  </si>
  <si>
    <t>CATEGORY BREAKDOWN</t>
  </si>
  <si>
    <t>Region</t>
  </si>
  <si>
    <t>Sales ($)</t>
  </si>
  <si>
    <t>Txns</t>
  </si>
  <si>
    <t>Share (%)</t>
  </si>
  <si>
    <t>Category</t>
  </si>
  <si>
    <t>Units</t>
  </si>
  <si>
    <t>Avg Price ($)</t>
  </si>
  <si>
    <t>Central</t>
  </si>
  <si>
    <t>Coffee</t>
  </si>
  <si>
    <t>East</t>
  </si>
  <si>
    <t>Tea</t>
  </si>
  <si>
    <t>North</t>
  </si>
  <si>
    <t>Frappuccino</t>
  </si>
  <si>
    <t>South</t>
  </si>
  <si>
    <t>Food</t>
  </si>
  <si>
    <t>West</t>
  </si>
  <si>
    <t>Merchandise</t>
  </si>
  <si>
    <t>☕  STARBUCKS — SALES TRANSACTION DATASET</t>
  </si>
  <si>
    <t>Transaction ID</t>
  </si>
  <si>
    <t>Date</t>
  </si>
  <si>
    <t>Store Name</t>
  </si>
  <si>
    <t>Qty Sold</t>
  </si>
  <si>
    <t>Unit Price ($)</t>
  </si>
  <si>
    <t>Total Sales ($)</t>
  </si>
  <si>
    <t>Payment Method</t>
  </si>
  <si>
    <t>TXN-1001</t>
  </si>
  <si>
    <t>2024-01-01</t>
  </si>
  <si>
    <t>Seattle Downtown</t>
  </si>
  <si>
    <t>Credit Card</t>
  </si>
  <si>
    <t>TXN-1002</t>
  </si>
  <si>
    <t>2024-01-03</t>
  </si>
  <si>
    <t>Chicago Loop</t>
  </si>
  <si>
    <t>TXN-1003</t>
  </si>
  <si>
    <t>2024-01-05</t>
  </si>
  <si>
    <t>Miami Beach</t>
  </si>
  <si>
    <t>Gift Card</t>
  </si>
  <si>
    <t>TXN-1004</t>
  </si>
  <si>
    <t>2024-01-07</t>
  </si>
  <si>
    <t>Houston TX</t>
  </si>
  <si>
    <t>TXN-1005</t>
  </si>
  <si>
    <t>2024-01-09</t>
  </si>
  <si>
    <t>Atlanta Peach</t>
  </si>
  <si>
    <t>Cash</t>
  </si>
  <si>
    <t>TXN-1006</t>
  </si>
  <si>
    <t>2024-01-11</t>
  </si>
  <si>
    <t>NYC Times Sq</t>
  </si>
  <si>
    <t>Mobile Pay</t>
  </si>
  <si>
    <t>TXN-1007</t>
  </si>
  <si>
    <t>2024-01-13</t>
  </si>
  <si>
    <t>Dallas TX</t>
  </si>
  <si>
    <t>TXN-1008</t>
  </si>
  <si>
    <t>2024-01-15</t>
  </si>
  <si>
    <t>Vancouver Mall</t>
  </si>
  <si>
    <t>TXN-1009</t>
  </si>
  <si>
    <t>2024-01-17</t>
  </si>
  <si>
    <t>TXN-1010</t>
  </si>
  <si>
    <t>2024-01-19</t>
  </si>
  <si>
    <t>Portland Hub</t>
  </si>
  <si>
    <t>TXN-1011</t>
  </si>
  <si>
    <t>2024-01-21</t>
  </si>
  <si>
    <t>TXN-1012</t>
  </si>
  <si>
    <t>2024-01-23</t>
  </si>
  <si>
    <t>Denver CO</t>
  </si>
  <si>
    <t>TXN-1013</t>
  </si>
  <si>
    <t>2024-01-25</t>
  </si>
  <si>
    <t>Philadelphia City</t>
  </si>
  <si>
    <t>TXN-1014</t>
  </si>
  <si>
    <t>2024-01-27</t>
  </si>
  <si>
    <t>TXN-1015</t>
  </si>
  <si>
    <t>2024-01-29</t>
  </si>
  <si>
    <t>TXN-1016</t>
  </si>
  <si>
    <t>2024-01-31</t>
  </si>
  <si>
    <t>LA Sunset</t>
  </si>
  <si>
    <t>TXN-1017</t>
  </si>
  <si>
    <t>2024-02-01</t>
  </si>
  <si>
    <t>TXN-1018</t>
  </si>
  <si>
    <t>2024-02-03</t>
  </si>
  <si>
    <t>TXN-1019</t>
  </si>
  <si>
    <t>2024-02-05</t>
  </si>
  <si>
    <t>TXN-1020</t>
  </si>
  <si>
    <t>2024-02-07</t>
  </si>
  <si>
    <t>TXN-1021</t>
  </si>
  <si>
    <t>2024-02-09</t>
  </si>
  <si>
    <t>TXN-1022</t>
  </si>
  <si>
    <t>2024-02-11</t>
  </si>
  <si>
    <t>TXN-1023</t>
  </si>
  <si>
    <t>2024-02-13</t>
  </si>
  <si>
    <t>TXN-1024</t>
  </si>
  <si>
    <t>2024-02-15</t>
  </si>
  <si>
    <t>TXN-1025</t>
  </si>
  <si>
    <t>2024-02-17</t>
  </si>
  <si>
    <t>Boston Common</t>
  </si>
  <si>
    <t>TXN-1026</t>
  </si>
  <si>
    <t>2024-02-19</t>
  </si>
  <si>
    <t>TXN-1027</t>
  </si>
  <si>
    <t>2024-02-21</t>
  </si>
  <si>
    <t>TXN-1028</t>
  </si>
  <si>
    <t>2024-02-23</t>
  </si>
  <si>
    <t>TXN-1029</t>
  </si>
  <si>
    <t>2024-02-25</t>
  </si>
  <si>
    <t>Phoenix AZ</t>
  </si>
  <si>
    <t>TXN-1030</t>
  </si>
  <si>
    <t>2024-02-27</t>
  </si>
  <si>
    <t>TXN-1031</t>
  </si>
  <si>
    <t>2024-02-29</t>
  </si>
  <si>
    <t>TXN-1032</t>
  </si>
  <si>
    <t>2024-03-01</t>
  </si>
  <si>
    <t>TXN-1033</t>
  </si>
  <si>
    <t>2024-03-03</t>
  </si>
  <si>
    <t>TXN-1034</t>
  </si>
  <si>
    <t>2024-03-05</t>
  </si>
  <si>
    <t>TXN-1035</t>
  </si>
  <si>
    <t>2024-03-07</t>
  </si>
  <si>
    <t>San Diego Bay</t>
  </si>
  <si>
    <t>TXN-1036</t>
  </si>
  <si>
    <t>2024-03-09</t>
  </si>
  <si>
    <t>TXN-1037</t>
  </si>
  <si>
    <t>2024-03-11</t>
  </si>
  <si>
    <t>TXN-1038</t>
  </si>
  <si>
    <t>2024-03-13</t>
  </si>
  <si>
    <t>TXN-1039</t>
  </si>
  <si>
    <t>2024-03-15</t>
  </si>
  <si>
    <t>TXN-1040</t>
  </si>
  <si>
    <t>2024-03-17</t>
  </si>
  <si>
    <t>TXN-1041</t>
  </si>
  <si>
    <t>2024-03-19</t>
  </si>
  <si>
    <t>TXN-1042</t>
  </si>
  <si>
    <t>2024-03-21</t>
  </si>
  <si>
    <t>TXN-1043</t>
  </si>
  <si>
    <t>2024-03-23</t>
  </si>
  <si>
    <t>TXN-1044</t>
  </si>
  <si>
    <t>2024-03-25</t>
  </si>
  <si>
    <t>TXN-1045</t>
  </si>
  <si>
    <t>2024-03-27</t>
  </si>
  <si>
    <t>TXN-1046</t>
  </si>
  <si>
    <t>2024-03-29</t>
  </si>
  <si>
    <t>TXN-1047</t>
  </si>
  <si>
    <t>2024-03-31</t>
  </si>
  <si>
    <t>TXN-1048</t>
  </si>
  <si>
    <t>2024-04-01</t>
  </si>
  <si>
    <t>TXN-1049</t>
  </si>
  <si>
    <t>2024-04-03</t>
  </si>
  <si>
    <t>TXN-1050</t>
  </si>
  <si>
    <t>2024-04-05</t>
  </si>
  <si>
    <t>TXN-1051</t>
  </si>
  <si>
    <t>2024-04-07</t>
  </si>
  <si>
    <t>TXN-1052</t>
  </si>
  <si>
    <t>2024-04-09</t>
  </si>
  <si>
    <t>TXN-1053</t>
  </si>
  <si>
    <t>2024-04-11</t>
  </si>
  <si>
    <t>TXN-1054</t>
  </si>
  <si>
    <t>2024-04-13</t>
  </si>
  <si>
    <t>TXN-1055</t>
  </si>
  <si>
    <t>2024-04-15</t>
  </si>
  <si>
    <t>TXN-1056</t>
  </si>
  <si>
    <t>2024-04-17</t>
  </si>
  <si>
    <t>TXN-1057</t>
  </si>
  <si>
    <t>2024-04-19</t>
  </si>
  <si>
    <t>TXN-1058</t>
  </si>
  <si>
    <t>2024-04-21</t>
  </si>
  <si>
    <t>TXN-1059</t>
  </si>
  <si>
    <t>2024-04-23</t>
  </si>
  <si>
    <t>TXN-1060</t>
  </si>
  <si>
    <t>2024-04-25</t>
  </si>
  <si>
    <t>TXN-1061</t>
  </si>
  <si>
    <t>2024-04-27</t>
  </si>
  <si>
    <t>TXN-1062</t>
  </si>
  <si>
    <t>2024-04-29</t>
  </si>
  <si>
    <t>TXN-1063</t>
  </si>
  <si>
    <t>2024-05-01</t>
  </si>
  <si>
    <t>TXN-1064</t>
  </si>
  <si>
    <t>2024-05-03</t>
  </si>
  <si>
    <t>TXN-1065</t>
  </si>
  <si>
    <t>2024-05-05</t>
  </si>
  <si>
    <t>TXN-1066</t>
  </si>
  <si>
    <t>2024-05-07</t>
  </si>
  <si>
    <t>TXN-1067</t>
  </si>
  <si>
    <t>2024-05-09</t>
  </si>
  <si>
    <t>TXN-1068</t>
  </si>
  <si>
    <t>2024-05-11</t>
  </si>
  <si>
    <t>TXN-1069</t>
  </si>
  <si>
    <t>2024-05-13</t>
  </si>
  <si>
    <t>TXN-1070</t>
  </si>
  <si>
    <t>2024-05-15</t>
  </si>
  <si>
    <t>TXN-1071</t>
  </si>
  <si>
    <t>2024-05-17</t>
  </si>
  <si>
    <t>TXN-1072</t>
  </si>
  <si>
    <t>2024-05-19</t>
  </si>
  <si>
    <t>TXN-1073</t>
  </si>
  <si>
    <t>2024-05-21</t>
  </si>
  <si>
    <t>TXN-1074</t>
  </si>
  <si>
    <t>2024-05-23</t>
  </si>
  <si>
    <t>TXN-1075</t>
  </si>
  <si>
    <t>2024-05-25</t>
  </si>
  <si>
    <t>TXN-1076</t>
  </si>
  <si>
    <t>2024-05-27</t>
  </si>
  <si>
    <t>TXN-1077</t>
  </si>
  <si>
    <t>2024-05-29</t>
  </si>
  <si>
    <t>TXN-1078</t>
  </si>
  <si>
    <t>2024-05-31</t>
  </si>
  <si>
    <t>TXN-1079</t>
  </si>
  <si>
    <t>2024-06-01</t>
  </si>
  <si>
    <t>TXN-1080</t>
  </si>
  <si>
    <t>2024-06-03</t>
  </si>
  <si>
    <t>TXN-1081</t>
  </si>
  <si>
    <t>2024-06-05</t>
  </si>
  <si>
    <t>TXN-1082</t>
  </si>
  <si>
    <t>2024-06-07</t>
  </si>
  <si>
    <t>TXN-1083</t>
  </si>
  <si>
    <t>2024-06-09</t>
  </si>
  <si>
    <t>TXN-1084</t>
  </si>
  <si>
    <t>2024-06-11</t>
  </si>
  <si>
    <t>TXN-1085</t>
  </si>
  <si>
    <t>2024-06-13</t>
  </si>
  <si>
    <t>TXN-1086</t>
  </si>
  <si>
    <t>2024-06-15</t>
  </si>
  <si>
    <t>TXN-1087</t>
  </si>
  <si>
    <t>2024-06-17</t>
  </si>
  <si>
    <t>TXN-1088</t>
  </si>
  <si>
    <t>2024-06-19</t>
  </si>
  <si>
    <t>TXN-1089</t>
  </si>
  <si>
    <t>2024-06-21</t>
  </si>
  <si>
    <t>TXN-1090</t>
  </si>
  <si>
    <t>2024-06-23</t>
  </si>
  <si>
    <t>TXN-1091</t>
  </si>
  <si>
    <t>2024-06-25</t>
  </si>
  <si>
    <t>TXN-1092</t>
  </si>
  <si>
    <t>2024-06-27</t>
  </si>
  <si>
    <t>TXN-1093</t>
  </si>
  <si>
    <t>2024-06-29</t>
  </si>
  <si>
    <t>TXN-1094</t>
  </si>
  <si>
    <t>2024-07-01</t>
  </si>
  <si>
    <t>TXN-1095</t>
  </si>
  <si>
    <t>2024-07-03</t>
  </si>
  <si>
    <t>TXN-1096</t>
  </si>
  <si>
    <t>2024-07-05</t>
  </si>
  <si>
    <t>TXN-1097</t>
  </si>
  <si>
    <t>2024-07-07</t>
  </si>
  <si>
    <t>TXN-1098</t>
  </si>
  <si>
    <t>2024-07-09</t>
  </si>
  <si>
    <t>TXN-1099</t>
  </si>
  <si>
    <t>2024-07-11</t>
  </si>
  <si>
    <t>TXN-1100</t>
  </si>
  <si>
    <t>2024-07-13</t>
  </si>
  <si>
    <t>TXN-1101</t>
  </si>
  <si>
    <t>2024-07-15</t>
  </si>
  <si>
    <t>TXN-1102</t>
  </si>
  <si>
    <t>2024-07-17</t>
  </si>
  <si>
    <t>TXN-1103</t>
  </si>
  <si>
    <t>2024-07-19</t>
  </si>
  <si>
    <t>TXN-1104</t>
  </si>
  <si>
    <t>2024-07-21</t>
  </si>
  <si>
    <t>TXN-1105</t>
  </si>
  <si>
    <t>2024-07-23</t>
  </si>
  <si>
    <t>TXN-1106</t>
  </si>
  <si>
    <t>2024-07-25</t>
  </si>
  <si>
    <t>TXN-1107</t>
  </si>
  <si>
    <t>2024-07-27</t>
  </si>
  <si>
    <t>TXN-1108</t>
  </si>
  <si>
    <t>2024-07-29</t>
  </si>
  <si>
    <t>TXN-1109</t>
  </si>
  <si>
    <t>2024-07-31</t>
  </si>
  <si>
    <t>TXN-1110</t>
  </si>
  <si>
    <t>2024-08-01</t>
  </si>
  <si>
    <t>TXN-1111</t>
  </si>
  <si>
    <t>2024-08-03</t>
  </si>
  <si>
    <t>TXN-1112</t>
  </si>
  <si>
    <t>2024-08-05</t>
  </si>
  <si>
    <t>TXN-1113</t>
  </si>
  <si>
    <t>2024-08-07</t>
  </si>
  <si>
    <t>TXN-1114</t>
  </si>
  <si>
    <t>2024-08-09</t>
  </si>
  <si>
    <t>TXN-1115</t>
  </si>
  <si>
    <t>2024-08-11</t>
  </si>
  <si>
    <t>TXN-1116</t>
  </si>
  <si>
    <t>2024-08-13</t>
  </si>
  <si>
    <t>TXN-1117</t>
  </si>
  <si>
    <t>2024-08-15</t>
  </si>
  <si>
    <t>TXN-1118</t>
  </si>
  <si>
    <t>2024-08-17</t>
  </si>
  <si>
    <t>TXN-1119</t>
  </si>
  <si>
    <t>2024-08-19</t>
  </si>
  <si>
    <t>TXN-1120</t>
  </si>
  <si>
    <t>2024-08-21</t>
  </si>
  <si>
    <t>TXN-1121</t>
  </si>
  <si>
    <t>2024-08-23</t>
  </si>
  <si>
    <t>TXN-1122</t>
  </si>
  <si>
    <t>2024-08-25</t>
  </si>
  <si>
    <t>TXN-1123</t>
  </si>
  <si>
    <t>2024-08-27</t>
  </si>
  <si>
    <t>TXN-1124</t>
  </si>
  <si>
    <t>2024-08-29</t>
  </si>
  <si>
    <t>TXN-1125</t>
  </si>
  <si>
    <t>2024-08-31</t>
  </si>
  <si>
    <t>TXN-1126</t>
  </si>
  <si>
    <t>2024-09-01</t>
  </si>
  <si>
    <t>TXN-1127</t>
  </si>
  <si>
    <t>2024-09-03</t>
  </si>
  <si>
    <t>TXN-1128</t>
  </si>
  <si>
    <t>2024-09-05</t>
  </si>
  <si>
    <t>TXN-1129</t>
  </si>
  <si>
    <t>2024-09-07</t>
  </si>
  <si>
    <t>TXN-1130</t>
  </si>
  <si>
    <t>2024-09-09</t>
  </si>
  <si>
    <t>TXN-1131</t>
  </si>
  <si>
    <t>2024-09-11</t>
  </si>
  <si>
    <t>TXN-1132</t>
  </si>
  <si>
    <t>2024-09-13</t>
  </si>
  <si>
    <t>TXN-1133</t>
  </si>
  <si>
    <t>2024-09-15</t>
  </si>
  <si>
    <t>TXN-1134</t>
  </si>
  <si>
    <t>2024-09-17</t>
  </si>
  <si>
    <t>TXN-1135</t>
  </si>
  <si>
    <t>2024-09-19</t>
  </si>
  <si>
    <t>TXN-1136</t>
  </si>
  <si>
    <t>2024-09-21</t>
  </si>
  <si>
    <t>TXN-1137</t>
  </si>
  <si>
    <t>2024-09-23</t>
  </si>
  <si>
    <t>TXN-1138</t>
  </si>
  <si>
    <t>2024-09-25</t>
  </si>
  <si>
    <t>TXN-1139</t>
  </si>
  <si>
    <t>2024-09-27</t>
  </si>
  <si>
    <t>TXN-1140</t>
  </si>
  <si>
    <t>2024-09-29</t>
  </si>
  <si>
    <t>TXN-1141</t>
  </si>
  <si>
    <t>2024-10-01</t>
  </si>
  <si>
    <t>TXN-1142</t>
  </si>
  <si>
    <t>2024-10-03</t>
  </si>
  <si>
    <t>TXN-1143</t>
  </si>
  <si>
    <t>2024-10-05</t>
  </si>
  <si>
    <t>TXN-1144</t>
  </si>
  <si>
    <t>2024-10-07</t>
  </si>
  <si>
    <t>TXN-1145</t>
  </si>
  <si>
    <t>2024-10-09</t>
  </si>
  <si>
    <t>TXN-1146</t>
  </si>
  <si>
    <t>2024-10-11</t>
  </si>
  <si>
    <t>TXN-1147</t>
  </si>
  <si>
    <t>2024-10-13</t>
  </si>
  <si>
    <t>TXN-1148</t>
  </si>
  <si>
    <t>2024-10-15</t>
  </si>
  <si>
    <t>TXN-1149</t>
  </si>
  <si>
    <t>2024-10-17</t>
  </si>
  <si>
    <t>TXN-1150</t>
  </si>
  <si>
    <t>2024-10-19</t>
  </si>
  <si>
    <t>TXN-1151</t>
  </si>
  <si>
    <t>2024-10-21</t>
  </si>
  <si>
    <t>TXN-1152</t>
  </si>
  <si>
    <t>2024-10-23</t>
  </si>
  <si>
    <t>TXN-1153</t>
  </si>
  <si>
    <t>2024-10-25</t>
  </si>
  <si>
    <t>TXN-1154</t>
  </si>
  <si>
    <t>2024-10-27</t>
  </si>
  <si>
    <t>TXN-1155</t>
  </si>
  <si>
    <t>2024-10-29</t>
  </si>
  <si>
    <t>TXN-1156</t>
  </si>
  <si>
    <t>2024-10-31</t>
  </si>
  <si>
    <t>TXN-1157</t>
  </si>
  <si>
    <t>2024-11-01</t>
  </si>
  <si>
    <t>TXN-1158</t>
  </si>
  <si>
    <t>2024-11-03</t>
  </si>
  <si>
    <t>TXN-1159</t>
  </si>
  <si>
    <t>2024-11-05</t>
  </si>
  <si>
    <t>TXN-1160</t>
  </si>
  <si>
    <t>2024-11-07</t>
  </si>
  <si>
    <t>TXN-1161</t>
  </si>
  <si>
    <t>2024-11-09</t>
  </si>
  <si>
    <t>TXN-1162</t>
  </si>
  <si>
    <t>2024-11-11</t>
  </si>
  <si>
    <t>TXN-1163</t>
  </si>
  <si>
    <t>2024-11-13</t>
  </si>
  <si>
    <t>TXN-1164</t>
  </si>
  <si>
    <t>2024-11-15</t>
  </si>
  <si>
    <t>TXN-1165</t>
  </si>
  <si>
    <t>2024-11-17</t>
  </si>
  <si>
    <t>TXN-1166</t>
  </si>
  <si>
    <t>2024-11-19</t>
  </si>
  <si>
    <t>TXN-1167</t>
  </si>
  <si>
    <t>2024-11-21</t>
  </si>
  <si>
    <t>TXN-1168</t>
  </si>
  <si>
    <t>2024-11-23</t>
  </si>
  <si>
    <t>TXN-1169</t>
  </si>
  <si>
    <t>2024-11-25</t>
  </si>
  <si>
    <t>TXN-1170</t>
  </si>
  <si>
    <t>2024-11-27</t>
  </si>
  <si>
    <t>TXN-1171</t>
  </si>
  <si>
    <t>2024-11-29</t>
  </si>
  <si>
    <t>TXN-1172</t>
  </si>
  <si>
    <t>2024-12-01</t>
  </si>
  <si>
    <t>TXN-1173</t>
  </si>
  <si>
    <t>2024-12-03</t>
  </si>
  <si>
    <t>TXN-1174</t>
  </si>
  <si>
    <t>2024-12-05</t>
  </si>
  <si>
    <t>TXN-1175</t>
  </si>
  <si>
    <t>2024-12-07</t>
  </si>
  <si>
    <t>TXN-1176</t>
  </si>
  <si>
    <t>2024-12-09</t>
  </si>
  <si>
    <t>TXN-1177</t>
  </si>
  <si>
    <t>2024-12-11</t>
  </si>
  <si>
    <t>TXN-1178</t>
  </si>
  <si>
    <t>2024-12-13</t>
  </si>
  <si>
    <t>TXN-1179</t>
  </si>
  <si>
    <t>2024-12-15</t>
  </si>
  <si>
    <t>TXN-1180</t>
  </si>
  <si>
    <t>2024-12-17</t>
  </si>
  <si>
    <t>TXN-1181</t>
  </si>
  <si>
    <t>2024-12-19</t>
  </si>
  <si>
    <t>TXN-1182</t>
  </si>
  <si>
    <t>2024-12-21</t>
  </si>
  <si>
    <t>TXN-1183</t>
  </si>
  <si>
    <t>2024-12-23</t>
  </si>
  <si>
    <t>TXN-1184</t>
  </si>
  <si>
    <t>2024-12-25</t>
  </si>
  <si>
    <t>TXN-1185</t>
  </si>
  <si>
    <t>2024-12-27</t>
  </si>
  <si>
    <t>TXN-1186</t>
  </si>
  <si>
    <t>2024-12-29</t>
  </si>
  <si>
    <t>TXN-1187</t>
  </si>
  <si>
    <t>2024-12-31</t>
  </si>
  <si>
    <t>TXN-1188</t>
  </si>
  <si>
    <t>2025-01-01</t>
  </si>
  <si>
    <t>TXN-1189</t>
  </si>
  <si>
    <t>2025-01-03</t>
  </si>
  <si>
    <t>TXN-1190</t>
  </si>
  <si>
    <t>2025-01-05</t>
  </si>
  <si>
    <t>TXN-1191</t>
  </si>
  <si>
    <t>2025-01-07</t>
  </si>
  <si>
    <t>TXN-1192</t>
  </si>
  <si>
    <t>2025-01-09</t>
  </si>
  <si>
    <t>TXN-1193</t>
  </si>
  <si>
    <t>2025-01-11</t>
  </si>
  <si>
    <t>TXN-1194</t>
  </si>
  <si>
    <t>2025-01-13</t>
  </si>
  <si>
    <t>TXN-1195</t>
  </si>
  <si>
    <t>2025-01-15</t>
  </si>
  <si>
    <t>TXN-1196</t>
  </si>
  <si>
    <t>2025-01-17</t>
  </si>
  <si>
    <t>TXN-1197</t>
  </si>
  <si>
    <t>2025-01-19</t>
  </si>
  <si>
    <t>TXN-1198</t>
  </si>
  <si>
    <t>2025-01-21</t>
  </si>
  <si>
    <t>TXN-1199</t>
  </si>
  <si>
    <t>2025-01-23</t>
  </si>
  <si>
    <t>TXN-1200</t>
  </si>
  <si>
    <t>2025-01-25</t>
  </si>
  <si>
    <t>TXN-1201</t>
  </si>
  <si>
    <t>2025-01-27</t>
  </si>
  <si>
    <t>TXN-1202</t>
  </si>
  <si>
    <t>2025-01-29</t>
  </si>
  <si>
    <t>TXN-1203</t>
  </si>
  <si>
    <t>2025-01-31</t>
  </si>
  <si>
    <t>TXN-1204</t>
  </si>
  <si>
    <t>2025-02-01</t>
  </si>
  <si>
    <t>TXN-1205</t>
  </si>
  <si>
    <t>2025-02-03</t>
  </si>
  <si>
    <t>TXN-1206</t>
  </si>
  <si>
    <t>2025-02-05</t>
  </si>
  <si>
    <t>TXN-1207</t>
  </si>
  <si>
    <t>2025-02-07</t>
  </si>
  <si>
    <t>TXN-1208</t>
  </si>
  <si>
    <t>2025-02-09</t>
  </si>
  <si>
    <t>TXN-1209</t>
  </si>
  <si>
    <t>2025-02-11</t>
  </si>
  <si>
    <t>TXN-1210</t>
  </si>
  <si>
    <t>2025-02-13</t>
  </si>
  <si>
    <t>TXN-1211</t>
  </si>
  <si>
    <t>2025-02-15</t>
  </si>
  <si>
    <t>TXN-1212</t>
  </si>
  <si>
    <t>2025-02-17</t>
  </si>
  <si>
    <t>TXN-1213</t>
  </si>
  <si>
    <t>2025-02-19</t>
  </si>
  <si>
    <t>TXN-1214</t>
  </si>
  <si>
    <t>2025-02-21</t>
  </si>
  <si>
    <t>TXN-1215</t>
  </si>
  <si>
    <t>2025-02-23</t>
  </si>
  <si>
    <t>TXN-1216</t>
  </si>
  <si>
    <t>2025-02-25</t>
  </si>
  <si>
    <t>TXN-1217</t>
  </si>
  <si>
    <t>2025-02-27</t>
  </si>
  <si>
    <t>TXN-1218</t>
  </si>
  <si>
    <t>2025-03-01</t>
  </si>
  <si>
    <t>TXN-1219</t>
  </si>
  <si>
    <t>2025-03-03</t>
  </si>
  <si>
    <t>TXN-1220</t>
  </si>
  <si>
    <t>2025-03-05</t>
  </si>
  <si>
    <t>TXN-1221</t>
  </si>
  <si>
    <t>2025-03-07</t>
  </si>
  <si>
    <t>TXN-1222</t>
  </si>
  <si>
    <t>2025-03-09</t>
  </si>
  <si>
    <t>TXN-1223</t>
  </si>
  <si>
    <t>2025-03-11</t>
  </si>
  <si>
    <t>TXN-1224</t>
  </si>
  <si>
    <t>2025-03-13</t>
  </si>
  <si>
    <t>TXN-1225</t>
  </si>
  <si>
    <t>2025-03-15</t>
  </si>
  <si>
    <t>TXN-1226</t>
  </si>
  <si>
    <t>2025-03-17</t>
  </si>
  <si>
    <t>TXN-1227</t>
  </si>
  <si>
    <t>2025-03-19</t>
  </si>
  <si>
    <t>TXN-1228</t>
  </si>
  <si>
    <t>2025-03-21</t>
  </si>
  <si>
    <t>TXN-1229</t>
  </si>
  <si>
    <t>2025-03-23</t>
  </si>
  <si>
    <t>TXN-1230</t>
  </si>
  <si>
    <t>2025-03-25</t>
  </si>
  <si>
    <t>TXN-1231</t>
  </si>
  <si>
    <t>2025-03-27</t>
  </si>
  <si>
    <t>TXN-1232</t>
  </si>
  <si>
    <t>2025-03-29</t>
  </si>
  <si>
    <t>TXN-1233</t>
  </si>
  <si>
    <t>2025-03-31</t>
  </si>
  <si>
    <t>TXN-1234</t>
  </si>
  <si>
    <t>2025-04-01</t>
  </si>
  <si>
    <t>TXN-1235</t>
  </si>
  <si>
    <t>2025-04-03</t>
  </si>
  <si>
    <t>TXN-1236</t>
  </si>
  <si>
    <t>2025-04-05</t>
  </si>
  <si>
    <t>TXN-1237</t>
  </si>
  <si>
    <t>2025-04-07</t>
  </si>
  <si>
    <t>TXN-1238</t>
  </si>
  <si>
    <t>2025-04-09</t>
  </si>
  <si>
    <t>TXN-1239</t>
  </si>
  <si>
    <t>2025-04-11</t>
  </si>
  <si>
    <t>TXN-1240</t>
  </si>
  <si>
    <t>2025-04-13</t>
  </si>
  <si>
    <t>TXN-1241</t>
  </si>
  <si>
    <t>2025-04-15</t>
  </si>
  <si>
    <t>TXN-1242</t>
  </si>
  <si>
    <t>2025-04-17</t>
  </si>
  <si>
    <t>TXN-1243</t>
  </si>
  <si>
    <t>2025-04-19</t>
  </si>
  <si>
    <t>TXN-1244</t>
  </si>
  <si>
    <t>2025-04-21</t>
  </si>
  <si>
    <t>TXN-1245</t>
  </si>
  <si>
    <t>2025-04-23</t>
  </si>
  <si>
    <t>TXN-1246</t>
  </si>
  <si>
    <t>2025-04-25</t>
  </si>
  <si>
    <t>TXN-1247</t>
  </si>
  <si>
    <t>2025-04-27</t>
  </si>
  <si>
    <t>TXN-1248</t>
  </si>
  <si>
    <t>2025-04-29</t>
  </si>
  <si>
    <t>TXN-1249</t>
  </si>
  <si>
    <t>2025-05-01</t>
  </si>
  <si>
    <t>TXN-1250</t>
  </si>
  <si>
    <t>2025-05-03</t>
  </si>
  <si>
    <t>TXN-1251</t>
  </si>
  <si>
    <t>2025-05-05</t>
  </si>
  <si>
    <t>TXN-1252</t>
  </si>
  <si>
    <t>2025-05-07</t>
  </si>
  <si>
    <t>TXN-1253</t>
  </si>
  <si>
    <t>2025-05-09</t>
  </si>
  <si>
    <t>TXN-1254</t>
  </si>
  <si>
    <t>2025-05-11</t>
  </si>
  <si>
    <t>TXN-1255</t>
  </si>
  <si>
    <t>2025-05-13</t>
  </si>
  <si>
    <t>TXN-1256</t>
  </si>
  <si>
    <t>2025-05-15</t>
  </si>
  <si>
    <t>TXN-1257</t>
  </si>
  <si>
    <t>2025-05-17</t>
  </si>
  <si>
    <t>TXN-1258</t>
  </si>
  <si>
    <t>2025-05-19</t>
  </si>
  <si>
    <t>TXN-1259</t>
  </si>
  <si>
    <t>2025-05-21</t>
  </si>
  <si>
    <t>TXN-1260</t>
  </si>
  <si>
    <t>2025-05-23</t>
  </si>
  <si>
    <t>TXN-1261</t>
  </si>
  <si>
    <t>2025-05-25</t>
  </si>
  <si>
    <t>TXN-1262</t>
  </si>
  <si>
    <t>2025-05-27</t>
  </si>
  <si>
    <t>TXN-1263</t>
  </si>
  <si>
    <t>2025-05-29</t>
  </si>
  <si>
    <t>TXN-1264</t>
  </si>
  <si>
    <t>2025-05-31</t>
  </si>
  <si>
    <t>TXN-1265</t>
  </si>
  <si>
    <t>2025-06-01</t>
  </si>
  <si>
    <t>TXN-1266</t>
  </si>
  <si>
    <t>2025-06-03</t>
  </si>
  <si>
    <t>TXN-1267</t>
  </si>
  <si>
    <t>2025-06-05</t>
  </si>
  <si>
    <t>TXN-1268</t>
  </si>
  <si>
    <t>2025-06-07</t>
  </si>
  <si>
    <t>TXN-1269</t>
  </si>
  <si>
    <t>2025-06-09</t>
  </si>
  <si>
    <t>TXN-1270</t>
  </si>
  <si>
    <t>2025-06-11</t>
  </si>
  <si>
    <t>TXN-1271</t>
  </si>
  <si>
    <t>2025-06-13</t>
  </si>
  <si>
    <t>TXN-1272</t>
  </si>
  <si>
    <t>2025-06-15</t>
  </si>
  <si>
    <t>TXN-1273</t>
  </si>
  <si>
    <t>2025-06-17</t>
  </si>
  <si>
    <t>TXN-1274</t>
  </si>
  <si>
    <t>2025-06-19</t>
  </si>
  <si>
    <t>TXN-1275</t>
  </si>
  <si>
    <t>2025-06-21</t>
  </si>
  <si>
    <t>TXN-1276</t>
  </si>
  <si>
    <t>2025-06-23</t>
  </si>
  <si>
    <t>TXN-1277</t>
  </si>
  <si>
    <t>2025-06-25</t>
  </si>
  <si>
    <t>TXN-1278</t>
  </si>
  <si>
    <t>2025-06-27</t>
  </si>
  <si>
    <t>TXN-1279</t>
  </si>
  <si>
    <t>2025-06-29</t>
  </si>
  <si>
    <t>☕  STARBUCKS — REGION-WISE SALES REPORT</t>
  </si>
  <si>
    <t>Transactions</t>
  </si>
  <si>
    <t>Units Sold</t>
  </si>
  <si>
    <t>Avg Sale ($)</t>
  </si>
  <si>
    <t>Coffee ($)</t>
  </si>
  <si>
    <t>Tea ($)</t>
  </si>
  <si>
    <t>Frappuccino ($)</t>
  </si>
  <si>
    <t>Food ($)</t>
  </si>
  <si>
    <t>Merchandise ($)</t>
  </si>
  <si>
    <t>TOTAL</t>
  </si>
  <si>
    <t>☕  STARBUCKS — DATE-WISE SALES REPORT</t>
  </si>
  <si>
    <t>Year</t>
  </si>
  <si>
    <t>Month</t>
  </si>
  <si>
    <t>Period</t>
  </si>
  <si>
    <t>MoM Growth (%)</t>
  </si>
  <si>
    <t>Jan 2024</t>
  </si>
  <si>
    <t>—</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</si>
  <si>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</si>
  <si>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</si>
  <si>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</si>
  <si>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</si>
  <si>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</si>
  <si>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</si>
  <si>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</si>
  <si>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</si>
  <si>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</si>
  <si>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</si>
  <si>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</si>
  <si>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</si>
  <si>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</si>
  <si>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</si>
  <si>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</si>
  <si>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</si>
  <si>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</si>
  <si>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Row Labels</t>
  </si>
  <si>
    <t>Grand Total</t>
  </si>
  <si>
    <t>Sum of 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</si>
</sst>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0.0\%"/>
    <numFmt numFmtId="165" formatCode="0.0%;[Red]\-0.0%"/>
  </numFmts>
  <fonts count="14" x14ac:knownFonts="1">
    <font>
      <sz val="11"/>
      <color theme="1"/>
      <name val="Calibri"/>
      <family val="2"/>
      <charset val="1"/>
    </font>
    <font>
      <b/>
      <sz val="20"/>
      <color rgb="FFFFFFFF"/>
      <name val="Arial"/>
      <family val="2"/>
    </font>
    <font>
      <b/>
      <sz val="9"/>
      <color rgb="FFFFFFFF"/>
      <name val="Arial"/>
      <family val="2"/>
    </font>
    <font>
      <b/>
      <sz val="22"/>
      <color rgb="FFFFFFFF"/>
      <name val="Arial"/>
      <family val="2"/>
    </font>
    <font>
      <b/>
      <sz val="11"/>
      <color rgb="FFFFFFFF"/>
      <name val="Arial"/>
      <family val="2"/>
    </font>
    <font>
      <b/>
      <sz val="10"/>
      <color rgb="FF000000"/>
      <name val="Arial"/>
      <family val="2"/>
    </font>
    <font>
      <sz val="10"/>
      <color rgb="FF000000"/>
      <name val="Arial"/>
      <family val="2"/>
    </font>
    <font>
      <sz val="10"/>
      <color rgb="FF1E3932"/>
      <name val="Arial"/>
      <family val="2"/>
    </font>
    <font>
      <b/>
      <sz val="14"/>
      <color rgb="FFFFFFFF"/>
      <name val="Arial"/>
      <family val="2"/>
    </font>
    <font>
      <i/>
      <sz val="9"/>
      <color rgb="FF666666"/>
      <name val="Arial"/>
      <family val="2"/>
    </font>
    <font>
      <b/>
      <sz val="10"/>
      <color rgb="FFFFFFFF"/>
      <name val="Arial"/>
      <family val="2"/>
    </font>
    <font>
      <sz val="9"/>
      <color rgb="FF000000"/>
      <name val="Arial"/>
      <family val="2"/>
    </font>
    <font>
      <i/>
      <sz val="9"/>
      <color rgb="FF00704A"/>
      <name val="Arial"/>
      <family val="2"/>
    </font>
    <font>
      <b/>
      <sz val="12"/>
      <color rgb="FFFFFFFF"/>
      <name val="Arial"/>
      <family val="2"/>
    </font>
  </fonts>
  <fills count="24">
    <fill>
      <patternFill patternType="none"/>
    </fill>
    <fill>
      <patternFill patternType="gray125"/>
    </fill>
    <fill>
      <patternFill patternType="solid">
        <fgColor rgb="FF1E3932"/>
        <bgColor rgb="FF333300"/>
      </patternFill>
    </fill>
    <fill>
      <patternFill patternType="solid">
        <fgColor rgb="FF00704A"/>
        <bgColor rgb="FF008000"/>
      </patternFill>
    </fill>
    <fill>
      <patternFill patternType="solid">
        <fgColor rgb="FFD4EDDA"/>
        <bgColor rgb="FFE0E0E0"/>
      </patternFill>
    </fill>
    <fill>
      <patternFill patternType="solid">
        <fgColor rgb="FFFFF8E7"/>
        <bgColor rgb="FFF9F9F9"/>
      </patternFill>
    </fill>
    <fill>
      <patternFill patternType="solid">
        <fgColor rgb="FFFFFFFF"/>
        <bgColor rgb="FFF9F9F9"/>
      </patternFill>
    </fill>
    <fill>
      <patternFill patternType="solid">
        <fgColor rgb="FFF5F5F5"/>
        <bgColor rgb="FFF9F9F9"/>
      </patternFill>
    </fill>
    <fill>
      <patternFill patternType="solid">
        <fgColor theme="0"/>
        <bgColor rgb="FFE0E0E0"/>
      </patternFill>
    </fill>
    <fill>
      <patternFill patternType="solid">
        <fgColor rgb="FF7A4300"/>
        <bgColor rgb="FF4F81BD"/>
      </patternFill>
    </fill>
    <fill>
      <patternFill patternType="solid">
        <fgColor rgb="FFD7A979"/>
        <bgColor indexed="64"/>
      </patternFill>
    </fill>
    <fill>
      <patternFill patternType="solid">
        <fgColor rgb="FFD7A979"/>
        <bgColor rgb="FF008000"/>
      </patternFill>
    </fill>
    <fill>
      <patternFill patternType="solid">
        <fgColor rgb="FFD7A979"/>
        <bgColor rgb="FF333300"/>
      </patternFill>
    </fill>
    <fill>
      <patternFill patternType="solid">
        <fgColor rgb="FFD7A979"/>
        <bgColor rgb="FF9BBB59"/>
      </patternFill>
    </fill>
    <fill>
      <patternFill patternType="solid">
        <fgColor rgb="FF407700"/>
        <bgColor rgb="FF9BBB59"/>
      </patternFill>
    </fill>
    <fill>
      <patternFill patternType="solid">
        <fgColor rgb="FF1D3831"/>
        <bgColor indexed="64"/>
      </patternFill>
    </fill>
    <fill>
      <patternFill patternType="solid">
        <fgColor rgb="FFFFD6A9"/>
        <bgColor rgb="FFE0E0E0"/>
      </patternFill>
    </fill>
    <fill>
      <patternFill patternType="solid">
        <fgColor rgb="FFFFD6A9"/>
        <bgColor rgb="FFF9F9F9"/>
      </patternFill>
    </fill>
    <fill>
      <patternFill patternType="solid">
        <fgColor rgb="FF7A4300"/>
        <bgColor rgb="FF008000"/>
      </patternFill>
    </fill>
    <fill>
      <patternFill patternType="solid">
        <fgColor rgb="FFD7A979"/>
        <bgColor rgb="FFE0E0E0"/>
      </patternFill>
    </fill>
    <fill>
      <patternFill patternType="solid">
        <fgColor rgb="FFD87A00"/>
        <bgColor rgb="FF333300"/>
      </patternFill>
    </fill>
    <fill>
      <patternFill patternType="solid">
        <fgColor rgb="FF1D3831"/>
        <bgColor rgb="FF9BBB59"/>
      </patternFill>
    </fill>
    <fill>
      <patternFill patternType="solid">
        <fgColor rgb="FF407700"/>
        <bgColor rgb="FF333300"/>
      </patternFill>
    </fill>
    <fill>
      <patternFill patternType="solid">
        <fgColor theme="6" tint="0.79998168889431442"/>
        <bgColor rgb="FFF9F9F9"/>
      </patternFill>
    </fill>
  </fills>
  <borders count="7">
    <border>
      <left/>
      <right/>
      <top/>
      <bottom/>
      <diagonal/>
    </border>
    <border>
      <left style="thin">
        <color rgb="FFCCCCCC"/>
      </left>
      <right style="thin">
        <color rgb="FFCCCCCC"/>
      </right>
      <top style="thin">
        <color rgb="FFCCCCCC"/>
      </top>
      <bottom style="thin">
        <color rgb="FFCCCCCC"/>
      </bottom>
      <diagonal/>
    </border>
    <border>
      <left style="thin">
        <color rgb="FFDDDDDD"/>
      </left>
      <right style="thin">
        <color rgb="FFDDDDDD"/>
      </right>
      <top style="thin">
        <color rgb="FFDDDDDD"/>
      </top>
      <bottom style="thin">
        <color rgb="FFDDDDDD"/>
      </bottom>
      <diagonal/>
    </border>
    <border>
      <left style="thin">
        <color rgb="FFFFFFFF"/>
      </left>
      <right style="thin">
        <color rgb="FFFFFFFF"/>
      </right>
      <top style="thin">
        <color rgb="FFFFFFFF"/>
      </top>
      <bottom style="thin">
        <color rgb="FFFFFFFF"/>
      </bottom>
      <diagonal/>
    </border>
    <border>
      <left style="thin">
        <color rgb="FFE0E0E0"/>
      </left>
      <right style="thin">
        <color rgb="FFE0E0E0"/>
      </right>
      <top style="thin">
        <color rgb="FFE0E0E0"/>
      </top>
      <bottom style="thin">
        <color rgb="FFE0E0E0"/>
      </bottom>
      <diagonal/>
    </border>
    <border>
      <left style="thin">
        <color rgb="FFD0D0D0"/>
      </left>
      <right style="thin">
        <color rgb="FFD0D0D0"/>
      </right>
      <top style="thin">
        <color rgb="FFD0D0D0"/>
      </top>
      <bottom style="thin">
        <color rgb="FFD0D0D0"/>
      </bottom>
      <diagonal/>
    </border>
    <border>
      <left/>
      <right/>
      <top/>
      <bottom style="thin">
        <color rgb="FFCCCCCC"/>
      </bottom>
      <diagonal/>
    </border>
  </borders>
  <cellStyleXfs count="1">
    <xf numFmtId="0" fontId="0" fillId="0" borderId="0"/>
  </cellStyleXfs>
  <cellXfs count="73">
    <xf numFmtId="0" fontId="0" fillId="0" borderId="0" xfId="0"/>
    <xf numFmtId="0" fontId="10" fillId="3" borderId="3" xfId="0" applyFont="1" applyFill="1" applyBorder="1" applyAlignment="1">
      <alignment horizontal="center" vertical="center" wrapText="1"/>
    </xf>
    <xf numFmtId="0" fontId="11" fillId="7" borderId="4" xfId="0" applyFont="1" applyFill="1" applyBorder="1" applyAlignment="1">
      <alignment horizontal="left" vertical="center"/>
    </xf>
    <xf numFmtId="3" fontId="11" fillId="7" borderId="4" xfId="0" applyNumberFormat="1" applyFont="1" applyFill="1" applyBorder="1" applyAlignment="1">
      <alignment horizontal="center" vertical="center" wrapText="1"/>
    </xf>
    <xf numFmtId="4" fontId="11" fillId="7" borderId="4" xfId="0" applyNumberFormat="1" applyFont="1" applyFill="1" applyBorder="1" applyAlignment="1">
      <alignment horizontal="right" vertical="center"/>
    </xf>
    <xf numFmtId="0" fontId="11" fillId="6" borderId="4" xfId="0" applyFont="1" applyFill="1" applyBorder="1" applyAlignment="1">
      <alignment horizontal="left" vertical="center"/>
    </xf>
    <xf numFmtId="3" fontId="11" fillId="6" borderId="4" xfId="0" applyNumberFormat="1" applyFont="1" applyFill="1" applyBorder="1" applyAlignment="1">
      <alignment horizontal="center" vertical="center" wrapText="1"/>
    </xf>
    <xf numFmtId="4" fontId="11" fillId="6" borderId="4" xfId="0" applyNumberFormat="1" applyFont="1" applyFill="1" applyBorder="1" applyAlignment="1">
      <alignment horizontal="right" vertical="center"/>
    </xf>
    <xf numFmtId="0" fontId="10" fillId="3" borderId="1" xfId="0" applyFont="1" applyFill="1" applyBorder="1" applyAlignment="1">
      <alignment horizontal="center" vertical="center" wrapText="1"/>
    </xf>
    <xf numFmtId="0" fontId="6" fillId="5" borderId="5" xfId="0" applyFont="1" applyFill="1" applyBorder="1" applyAlignment="1">
      <alignment horizontal="center" vertical="center" wrapText="1"/>
    </xf>
    <xf numFmtId="4" fontId="6" fillId="5" borderId="5" xfId="0" applyNumberFormat="1" applyFont="1" applyFill="1" applyBorder="1" applyAlignment="1">
      <alignment horizontal="right" vertical="center"/>
    </xf>
    <xf numFmtId="3" fontId="6" fillId="5" borderId="5" xfId="0" applyNumberFormat="1" applyFont="1" applyFill="1" applyBorder="1" applyAlignment="1">
      <alignment horizontal="right" vertical="center"/>
    </xf>
    <xf numFmtId="0" fontId="6" fillId="6" borderId="5" xfId="0" applyFont="1" applyFill="1" applyBorder="1" applyAlignment="1">
      <alignment horizontal="center" vertical="center" wrapText="1"/>
    </xf>
    <xf numFmtId="4" fontId="6" fillId="6" borderId="5" xfId="0" applyNumberFormat="1" applyFont="1" applyFill="1" applyBorder="1" applyAlignment="1">
      <alignment horizontal="right" vertical="center"/>
    </xf>
    <xf numFmtId="3" fontId="6" fillId="6" borderId="5" xfId="0" applyNumberFormat="1" applyFont="1" applyFill="1" applyBorder="1" applyAlignment="1">
      <alignment horizontal="right" vertical="center"/>
    </xf>
    <xf numFmtId="0" fontId="10" fillId="3" borderId="0" xfId="0" applyFont="1" applyFill="1" applyAlignment="1">
      <alignment horizontal="center" vertical="center" wrapText="1"/>
    </xf>
    <xf numFmtId="4" fontId="10" fillId="3" borderId="1" xfId="0" applyNumberFormat="1" applyFont="1" applyFill="1" applyBorder="1" applyAlignment="1">
      <alignment horizontal="right" vertical="center"/>
    </xf>
    <xf numFmtId="0" fontId="6" fillId="7" borderId="4" xfId="0" applyFont="1" applyFill="1" applyBorder="1" applyAlignment="1">
      <alignment horizontal="center" vertical="center" wrapText="1"/>
    </xf>
    <xf numFmtId="4" fontId="6" fillId="7" borderId="4" xfId="0" applyNumberFormat="1" applyFont="1" applyFill="1" applyBorder="1" applyAlignment="1">
      <alignment horizontal="right" vertical="center"/>
    </xf>
    <xf numFmtId="3" fontId="6" fillId="7" borderId="4" xfId="0" applyNumberFormat="1" applyFont="1" applyFill="1" applyBorder="1" applyAlignment="1">
      <alignment horizontal="right" vertical="center"/>
    </xf>
    <xf numFmtId="0" fontId="6" fillId="6" borderId="4" xfId="0" applyFont="1" applyFill="1" applyBorder="1" applyAlignment="1">
      <alignment horizontal="center" vertical="center" wrapText="1"/>
    </xf>
    <xf numFmtId="4" fontId="6" fillId="6" borderId="4" xfId="0" applyNumberFormat="1" applyFont="1" applyFill="1" applyBorder="1" applyAlignment="1">
      <alignment horizontal="right" vertical="center"/>
    </xf>
    <xf numFmtId="3" fontId="6" fillId="6" borderId="4" xfId="0" applyNumberFormat="1" applyFont="1" applyFill="1" applyBorder="1" applyAlignment="1">
      <alignment horizontal="right" vertical="center"/>
    </xf>
    <xf numFmtId="165" fontId="6" fillId="6" borderId="4" xfId="0" applyNumberFormat="1" applyFont="1" applyFill="1" applyBorder="1" applyAlignment="1">
      <alignment horizontal="right" vertical="center"/>
    </xf>
    <xf numFmtId="165" fontId="6" fillId="7" borderId="4" xfId="0" applyNumberFormat="1" applyFont="1" applyFill="1" applyBorder="1" applyAlignment="1">
      <alignment horizontal="right" vertical="center"/>
    </xf>
    <xf numFmtId="3" fontId="10" fillId="3" borderId="1" xfId="0" applyNumberFormat="1" applyFont="1" applyFill="1" applyBorder="1" applyAlignment="1">
      <alignment horizontal="right" vertical="center"/>
    </xf>
    <xf numFmtId="0" fontId="0" fillId="3" borderId="0" xfId="0" applyFill="1"/>
    <xf numFmtId="0" fontId="0" fillId="0" borderId="0" xfId="0" pivotButton="1"/>
    <xf numFmtId="0" fontId="0" fillId="0" borderId="0" xfId="0" applyAlignment="1">
      <alignment horizontal="left"/>
    </xf>
    <xf numFmtId="4" fontId="0" fillId="0" borderId="0" xfId="0" applyNumberFormat="1"/>
    <xf numFmtId="0" fontId="0" fillId="10" borderId="0" xfId="0" applyFill="1"/>
    <xf numFmtId="0" fontId="2" fillId="11" borderId="0" xfId="0" applyFont="1" applyFill="1" applyAlignment="1">
      <alignment horizontal="center" vertical="center" wrapText="1"/>
    </xf>
    <xf numFmtId="0" fontId="2" fillId="12" borderId="0" xfId="0" applyFont="1" applyFill="1" applyAlignment="1">
      <alignment horizontal="center" vertical="center" wrapText="1"/>
    </xf>
    <xf numFmtId="0" fontId="2" fillId="13" borderId="0" xfId="0" applyFont="1" applyFill="1" applyAlignment="1">
      <alignment horizontal="center" vertical="center" wrapText="1"/>
    </xf>
    <xf numFmtId="0" fontId="3" fillId="11" borderId="0" xfId="0" applyFont="1" applyFill="1" applyAlignment="1">
      <alignment horizontal="center" vertical="center" wrapText="1"/>
    </xf>
    <xf numFmtId="0" fontId="3" fillId="12" borderId="0" xfId="0" applyFont="1" applyFill="1" applyAlignment="1">
      <alignment horizontal="center" vertical="center" wrapText="1"/>
    </xf>
    <xf numFmtId="0" fontId="3" fillId="13" borderId="0" xfId="0" applyFont="1" applyFill="1" applyAlignment="1">
      <alignment horizontal="center" vertical="center" wrapText="1"/>
    </xf>
    <xf numFmtId="0" fontId="4" fillId="11" borderId="0" xfId="0" applyFont="1" applyFill="1" applyAlignment="1">
      <alignment vertical="center" wrapText="1"/>
    </xf>
    <xf numFmtId="0" fontId="4" fillId="13" borderId="0" xfId="0" applyFont="1" applyFill="1" applyAlignment="1">
      <alignment vertical="center" wrapText="1"/>
    </xf>
    <xf numFmtId="0" fontId="4" fillId="13" borderId="0" xfId="0" applyFont="1" applyFill="1" applyAlignment="1">
      <alignment horizontal="center" vertical="center" wrapText="1"/>
    </xf>
    <xf numFmtId="0" fontId="0" fillId="15" borderId="0" xfId="0" applyFill="1"/>
    <xf numFmtId="0" fontId="5" fillId="16" borderId="2" xfId="0" applyFont="1" applyFill="1" applyBorder="1" applyAlignment="1">
      <alignment horizontal="center" vertical="center" wrapText="1"/>
    </xf>
    <xf numFmtId="4" fontId="6" fillId="16" borderId="2" xfId="0" applyNumberFormat="1" applyFont="1" applyFill="1" applyBorder="1" applyAlignment="1">
      <alignment horizontal="right" vertical="center"/>
    </xf>
    <xf numFmtId="0" fontId="6" fillId="16" borderId="2" xfId="0" applyFont="1" applyFill="1" applyBorder="1" applyAlignment="1">
      <alignment horizontal="center" vertical="center" wrapText="1"/>
    </xf>
    <xf numFmtId="164" fontId="6" fillId="16" borderId="2" xfId="0" applyNumberFormat="1" applyFont="1" applyFill="1" applyBorder="1" applyAlignment="1">
      <alignment horizontal="center" vertical="center" wrapText="1"/>
    </xf>
    <xf numFmtId="0" fontId="5" fillId="17" borderId="2" xfId="0" applyFont="1" applyFill="1" applyBorder="1" applyAlignment="1">
      <alignment horizontal="center" vertical="center" wrapText="1"/>
    </xf>
    <xf numFmtId="4" fontId="6" fillId="17" borderId="2" xfId="0" applyNumberFormat="1" applyFont="1" applyFill="1" applyBorder="1" applyAlignment="1">
      <alignment horizontal="right" vertical="center"/>
    </xf>
    <xf numFmtId="0" fontId="6" fillId="17" borderId="2" xfId="0" applyFont="1" applyFill="1" applyBorder="1" applyAlignment="1">
      <alignment horizontal="center" vertical="center" wrapText="1"/>
    </xf>
    <xf numFmtId="164" fontId="6" fillId="17" borderId="2" xfId="0" applyNumberFormat="1" applyFont="1" applyFill="1" applyBorder="1" applyAlignment="1">
      <alignment horizontal="center" vertical="center" wrapText="1"/>
    </xf>
    <xf numFmtId="0" fontId="7" fillId="19" borderId="0" xfId="0" applyFont="1" applyFill="1" applyAlignment="1">
      <alignment horizontal="center" vertical="center" wrapText="1"/>
    </xf>
    <xf numFmtId="0" fontId="2" fillId="20"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0" fontId="5" fillId="23" borderId="2" xfId="0" applyFont="1" applyFill="1" applyBorder="1" applyAlignment="1">
      <alignment horizontal="left" vertical="center"/>
    </xf>
    <xf numFmtId="4" fontId="6" fillId="23" borderId="2" xfId="0" applyNumberFormat="1" applyFont="1" applyFill="1" applyBorder="1" applyAlignment="1">
      <alignment horizontal="right" vertical="center"/>
    </xf>
    <xf numFmtId="3" fontId="6" fillId="23" borderId="2" xfId="0" applyNumberFormat="1" applyFont="1" applyFill="1" applyBorder="1" applyAlignment="1">
      <alignment horizontal="right" vertical="center"/>
    </xf>
    <xf numFmtId="0" fontId="4" fillId="18" borderId="6" xfId="0" applyFont="1" applyFill="1" applyBorder="1" applyAlignment="1">
      <alignment horizontal="center" vertical="center" wrapText="1"/>
    </xf>
    <xf numFmtId="0" fontId="4" fillId="21" borderId="6" xfId="0" applyFont="1" applyFill="1" applyBorder="1" applyAlignment="1">
      <alignment horizontal="center" vertical="center" wrapText="1"/>
    </xf>
    <xf numFmtId="0" fontId="1" fillId="2" borderId="0" xfId="0" applyFont="1" applyFill="1" applyAlignment="1">
      <alignment horizontal="center" vertical="center" wrapText="1"/>
    </xf>
    <xf numFmtId="6" fontId="3" fillId="3" borderId="0" xfId="0" applyNumberFormat="1" applyFont="1" applyFill="1" applyAlignment="1">
      <alignment horizontal="center" vertical="center" wrapText="1"/>
    </xf>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3" fontId="3" fillId="14" borderId="0" xfId="0" applyNumberFormat="1" applyFont="1" applyFill="1" applyAlignment="1">
      <alignment horizontal="center" vertical="center" wrapText="1"/>
    </xf>
    <xf numFmtId="0" fontId="3" fillId="14" borderId="0" xfId="0" applyFont="1" applyFill="1" applyAlignment="1">
      <alignment horizontal="center" vertical="center" wrapText="1"/>
    </xf>
    <xf numFmtId="8" fontId="3" fillId="9" borderId="0" xfId="0" applyNumberFormat="1" applyFont="1" applyFill="1" applyAlignment="1">
      <alignment horizontal="center" vertical="center" wrapText="1"/>
    </xf>
    <xf numFmtId="0" fontId="3" fillId="9" borderId="0" xfId="0" applyFont="1" applyFill="1" applyAlignment="1">
      <alignment horizontal="center" vertical="center" wrapText="1"/>
    </xf>
    <xf numFmtId="0" fontId="13" fillId="3" borderId="0" xfId="0" applyFont="1" applyFill="1" applyAlignment="1">
      <alignment horizontal="center" vertical="center" wrapText="1"/>
    </xf>
    <xf numFmtId="0" fontId="13" fillId="2" borderId="0" xfId="0" applyFont="1" applyFill="1" applyAlignment="1">
      <alignment horizontal="center" vertical="center" wrapText="1"/>
    </xf>
    <xf numFmtId="0" fontId="13" fillId="14" borderId="0" xfId="0" applyFont="1" applyFill="1" applyAlignment="1">
      <alignment horizontal="center" vertical="center" wrapText="1"/>
    </xf>
    <xf numFmtId="0" fontId="13" fillId="9" borderId="0" xfId="0" applyFont="1" applyFill="1" applyAlignment="1">
      <alignment horizontal="center" vertical="center" wrapText="1"/>
    </xf>
    <xf numFmtId="0" fontId="8" fillId="2" borderId="0" xfId="0" applyFont="1" applyFill="1" applyAlignment="1">
      <alignment horizontal="center" vertical="center" wrapText="1"/>
    </xf>
    <xf numFmtId="0" fontId="9" fillId="4" borderId="0" xfId="0" applyFont="1" applyFill="1" applyAlignment="1">
      <alignment horizontal="center" vertical="center" wrapText="1"/>
    </xf>
    <xf numFmtId="0" fontId="12" fillId="8" borderId="0" xfId="0" applyFont="1" applyFill="1"/>
    <xf numFmtId="0" fontId="10"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0704A"/>
      <rgbColor rgb="FFCCCCCC"/>
      <rgbColor rgb="FF878787"/>
      <rgbColor rgb="FF9999FF"/>
      <rgbColor rgb="FFC0504D"/>
      <rgbColor rgb="FFFFF8E7"/>
      <rgbColor rgb="FFF5F5F5"/>
      <rgbColor rgb="FF660066"/>
      <rgbColor rgb="FFFF8080"/>
      <rgbColor rgb="FF0066CC"/>
      <rgbColor rgb="FFD0D0D0"/>
      <rgbColor rgb="FF000080"/>
      <rgbColor rgb="FFFF00FF"/>
      <rgbColor rgb="FFFFFF00"/>
      <rgbColor rgb="FF00FFFF"/>
      <rgbColor rgb="FF800080"/>
      <rgbColor rgb="FF800000"/>
      <rgbColor rgb="FF2980B9"/>
      <rgbColor rgb="FF0000FF"/>
      <rgbColor rgb="FF00CCFF"/>
      <rgbColor rgb="FFF9F9F9"/>
      <rgbColor rgb="FFD4EDDA"/>
      <rgbColor rgb="FFE0E0E0"/>
      <rgbColor rgb="FFDDDDDD"/>
      <rgbColor rgb="FFFF99CC"/>
      <rgbColor rgb="FFCC99FF"/>
      <rgbColor rgb="FFD9D9D9"/>
      <rgbColor rgb="FF4F81BD"/>
      <rgbColor rgb="FF4BACC6"/>
      <rgbColor rgb="FF9BBB59"/>
      <rgbColor rgb="FFFFCC00"/>
      <rgbColor rgb="FFFF9900"/>
      <rgbColor rgb="FFFF6600"/>
      <rgbColor rgb="FF8064A2"/>
      <rgbColor rgb="FFCBA258"/>
      <rgbColor rgb="FF003366"/>
      <rgbColor rgb="FF339966"/>
      <rgbColor rgb="FF003300"/>
      <rgbColor rgb="FF333300"/>
      <rgbColor rgb="FF993300"/>
      <rgbColor rgb="FF993366"/>
      <rgbColor rgb="FF333399"/>
      <rgbColor rgb="FF1E3932"/>
      <rgbColor rgb="00003366"/>
      <rgbColor rgb="00339966"/>
      <rgbColor rgb="00003300"/>
      <rgbColor rgb="00333300"/>
      <rgbColor rgb="00993300"/>
      <rgbColor rgb="00993366"/>
      <rgbColor rgb="00333399"/>
      <rgbColor rgb="00333333"/>
    </indexedColors>
    <mruColors>
      <color rgb="FFD7A979"/>
      <color rgb="FF7A4300"/>
      <color rgb="FF407700"/>
      <color rgb="FF1D3831"/>
      <color rgb="FFFFD6A9"/>
      <color rgb="FFD87A00"/>
      <color rgb="FFEBC399"/>
      <color rgb="FFF295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[starbucks_sales_dashboard.xlsx]PIVOT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hade val="53000"/>
            </a:schemeClr>
          </a:solidFill>
          <a:ln w="19050">
            <a:solidFill>
              <a:schemeClr val="lt1"/>
            </a:solidFill>
          </a:ln>
          <a:effectLst/>
        </c:spPr>
      </c:pivotFmt>
      <c:pivotFmt>
        <c:idx val="9"/>
        <c:spPr>
          <a:solidFill>
            <a:schemeClr val="accent3">
              <a:shade val="76000"/>
            </a:schemeClr>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tint val="77000"/>
            </a:schemeClr>
          </a:solidFill>
          <a:ln w="19050">
            <a:solidFill>
              <a:schemeClr val="lt1"/>
            </a:solidFill>
          </a:ln>
          <a:effectLst/>
        </c:spPr>
      </c:pivotFmt>
      <c:pivotFmt>
        <c:idx val="12"/>
        <c:spPr>
          <a:solidFill>
            <a:schemeClr val="accent3">
              <a:tint val="54000"/>
            </a:schemeClr>
          </a:solidFill>
          <a:ln w="19050">
            <a:solidFill>
              <a:schemeClr val="lt1"/>
            </a:solidFill>
          </a:ln>
          <a:effectLst/>
        </c:spPr>
      </c:pivotFmt>
    </c:pivotFmts>
    <c:plotArea>
      <c:layout/>
      <c:pieChart>
        <c:varyColors val="1"/>
        <c:ser>
          <c:idx val="0"/>
          <c:order val="0"/>
          <c:tx>
            <c:strRef>
              <c:f>'PIVOT TABLES'!$B$12</c:f>
              <c:strCache>
                <c:ptCount val="1"/>
                <c:pt idx="0">
                  <c:v>Total</c:v>
                </c:pt>
              </c:strCache>
            </c:strRef>
          </c:tx>
          <c:dPt>
            <c:idx val="0"/>
            <c:bubble3D val="0"/>
            <c:spPr>
              <a:solidFill>
                <a:schemeClr val="accent3">
                  <a:shade val="53000"/>
                </a:schemeClr>
              </a:solidFill>
              <a:ln w="19050">
                <a:solidFill>
                  <a:schemeClr val="lt1"/>
                </a:solidFill>
              </a:ln>
              <a:effectLst/>
            </c:spPr>
            <c:extLst>
              <c:ext xmlns:c16="http://schemas.microsoft.com/office/drawing/2014/chart" uri="{C3380CC4-5D6E-409C-BE32-E72D297353CC}">
                <c16:uniqueId val="{00000001-BE8B-C940-BCA6-AB7715547F8A}"/>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BE8B-C940-BCA6-AB7715547F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8B-C940-BCA6-AB7715547F8A}"/>
              </c:ext>
            </c:extLst>
          </c:dPt>
          <c:dPt>
            <c:idx val="3"/>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BE8B-C940-BCA6-AB7715547F8A}"/>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9-BE8B-C940-BCA6-AB7715547F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TABLES'!$A$13:$A$18</c:f>
              <c:strCache>
                <c:ptCount val="5"/>
                <c:pt idx="0">
                  <c:v>Coffee</c:v>
                </c:pt>
                <c:pt idx="1">
                  <c:v>Food</c:v>
                </c:pt>
                <c:pt idx="2">
                  <c:v>Frappuccino</c:v>
                </c:pt>
                <c:pt idx="3">
                  <c:v>Merchandise</c:v>
                </c:pt>
                <c:pt idx="4">
                  <c:v>Tea</c:v>
                </c:pt>
              </c:strCache>
            </c:strRef>
          </c:cat>
          <c:val>
            <c:numRef>
              <c:f>'PIVOT TABLES'!$B$13:$B$18</c:f>
              <c:numCache>
                <c:formatCode>#,##0.00</c:formatCode>
                <c:ptCount val="5"/>
                <c:pt idx="0">
                  <c:v>1279.0099999999998</c:v>
                </c:pt>
                <c:pt idx="1">
                  <c:v>2567.3399999999997</c:v>
                </c:pt>
                <c:pt idx="2">
                  <c:v>1679.5599999999997</c:v>
                </c:pt>
                <c:pt idx="3">
                  <c:v>4312.6100000000006</c:v>
                </c:pt>
                <c:pt idx="4">
                  <c:v>1020.8499999999999</c:v>
                </c:pt>
              </c:numCache>
            </c:numRef>
          </c:val>
          <c:extLst>
            <c:ext xmlns:c16="http://schemas.microsoft.com/office/drawing/2014/chart" uri="{C3380CC4-5D6E-409C-BE32-E72D297353CC}">
              <c16:uniqueId val="{0000000A-BE8B-C940-BCA6-AB7715547F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[starbucks_sales_dashboard.xlsx]PIVOT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Region</a:t>
            </a:r>
          </a:p>
        </c:rich>
      </c:tx>
      <c:layout>
        <c:manualLayout>
          <c:xMode val="edge"/>
          <c:yMode val="edge"/>
          <c:x val="0.41254887436382376"/>
          <c:y val="2.41610763791234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129207090017169E-2"/>
          <c:y val="0.14935572048361473"/>
          <c:w val="0.81118595820613293"/>
          <c:h val="0.75722842648929101"/>
        </c:manualLayout>
      </c:layout>
      <c:barChart>
        <c:barDir val="col"/>
        <c:grouping val="clustered"/>
        <c:varyColors val="0"/>
        <c:ser>
          <c:idx val="0"/>
          <c:order val="0"/>
          <c:tx>
            <c:strRef>
              <c:f>'PIVOT TABLES'!$B$3</c:f>
              <c:strCache>
                <c:ptCount val="1"/>
                <c:pt idx="0">
                  <c:v>Total</c:v>
                </c:pt>
              </c:strCache>
            </c:strRef>
          </c:tx>
          <c:spPr>
            <a:solidFill>
              <a:schemeClr val="accent3">
                <a:lumMod val="50000"/>
              </a:schemeClr>
            </a:solidFill>
            <a:ln>
              <a:noFill/>
            </a:ln>
            <a:effectLst/>
          </c:spPr>
          <c:invertIfNegative val="0"/>
          <c:cat>
            <c:strRef>
              <c:f>'PIVOT TABLES'!$A$4:$A$9</c:f>
              <c:strCache>
                <c:ptCount val="5"/>
                <c:pt idx="0">
                  <c:v>East</c:v>
                </c:pt>
                <c:pt idx="1">
                  <c:v>North</c:v>
                </c:pt>
                <c:pt idx="2">
                  <c:v>West</c:v>
                </c:pt>
                <c:pt idx="3">
                  <c:v>Central</c:v>
                </c:pt>
                <c:pt idx="4">
                  <c:v>South</c:v>
                </c:pt>
              </c:strCache>
            </c:strRef>
          </c:cat>
          <c:val>
            <c:numRef>
              <c:f>'PIVOT TABLES'!$B$4:$B$9</c:f>
              <c:numCache>
                <c:formatCode>#,##0.00</c:formatCode>
                <c:ptCount val="5"/>
                <c:pt idx="0">
                  <c:v>2559.02</c:v>
                </c:pt>
                <c:pt idx="1">
                  <c:v>2378.7200000000003</c:v>
                </c:pt>
                <c:pt idx="2">
                  <c:v>2129.9200000000005</c:v>
                </c:pt>
                <c:pt idx="3">
                  <c:v>1994.2199999999998</c:v>
                </c:pt>
                <c:pt idx="4">
                  <c:v>1797.4900000000002</c:v>
                </c:pt>
              </c:numCache>
            </c:numRef>
          </c:val>
          <c:extLst>
            <c:ext xmlns:c16="http://schemas.microsoft.com/office/drawing/2014/chart" uri="{C3380CC4-5D6E-409C-BE32-E72D297353CC}">
              <c16:uniqueId val="{00000000-DAA9-7547-A095-B9F712AE4BF9}"/>
            </c:ext>
          </c:extLst>
        </c:ser>
        <c:dLbls>
          <c:showLegendKey val="0"/>
          <c:showVal val="0"/>
          <c:showCatName val="0"/>
          <c:showSerName val="0"/>
          <c:showPercent val="0"/>
          <c:showBubbleSize val="0"/>
        </c:dLbls>
        <c:gapWidth val="219"/>
        <c:overlap val="-27"/>
        <c:axId val="728943072"/>
        <c:axId val="729258912"/>
      </c:barChart>
      <c:catAx>
        <c:axId val="72894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58912"/>
        <c:crosses val="autoZero"/>
        <c:auto val="1"/>
        <c:lblAlgn val="ctr"/>
        <c:lblOffset val="100"/>
        <c:noMultiLvlLbl val="0"/>
      </c:catAx>
      <c:valAx>
        <c:axId val="729258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94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[starbucks_sales_dashboard.xlsx]PIVOT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type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tint val="58000"/>
            </a:schemeClr>
          </a:solidFill>
          <a:ln w="19050">
            <a:solidFill>
              <a:schemeClr val="lt1"/>
            </a:solidFill>
          </a:ln>
          <a:effectLst/>
        </c:spPr>
      </c:pivotFmt>
      <c:pivotFmt>
        <c:idx val="8"/>
        <c:spPr>
          <a:solidFill>
            <a:schemeClr val="accent3">
              <a:tint val="86000"/>
            </a:schemeClr>
          </a:solidFill>
          <a:ln w="19050">
            <a:solidFill>
              <a:schemeClr val="lt1"/>
            </a:solidFill>
          </a:ln>
          <a:effectLst/>
        </c:spPr>
      </c:pivotFmt>
      <c:pivotFmt>
        <c:idx val="9"/>
        <c:spPr>
          <a:solidFill>
            <a:schemeClr val="accent3">
              <a:shade val="86000"/>
            </a:schemeClr>
          </a:solidFill>
          <a:ln w="19050">
            <a:solidFill>
              <a:schemeClr val="lt1"/>
            </a:solidFill>
          </a:ln>
          <a:effectLst/>
        </c:spPr>
      </c:pivotFmt>
      <c:pivotFmt>
        <c:idx val="10"/>
        <c:spPr>
          <a:solidFill>
            <a:schemeClr val="accent3">
              <a:shade val="58000"/>
            </a:schemeClr>
          </a:solidFill>
          <a:ln w="19050">
            <a:solidFill>
              <a:schemeClr val="lt1"/>
            </a:solidFill>
          </a:ln>
          <a:effectLst/>
        </c:spPr>
      </c:pivotFmt>
    </c:pivotFmts>
    <c:plotArea>
      <c:layout>
        <c:manualLayout>
          <c:layoutTarget val="inner"/>
          <c:xMode val="edge"/>
          <c:yMode val="edge"/>
          <c:x val="0.22397594221854947"/>
          <c:y val="0.17077282824391363"/>
          <c:w val="0.41362349883266369"/>
          <c:h val="0.77244485147548336"/>
        </c:manualLayout>
      </c:layout>
      <c:doughnutChart>
        <c:varyColors val="1"/>
        <c:ser>
          <c:idx val="0"/>
          <c:order val="0"/>
          <c:tx>
            <c:strRef>
              <c:f>'PIVOT TABLES'!$E$3</c:f>
              <c:strCache>
                <c:ptCount val="1"/>
                <c:pt idx="0">
                  <c:v>Total</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1-D86E-024C-A3B1-662AB9BA9B92}"/>
              </c:ext>
            </c:extLst>
          </c:dPt>
          <c:dPt>
            <c:idx val="1"/>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3-D86E-024C-A3B1-662AB9BA9B92}"/>
              </c:ext>
            </c:extLst>
          </c:dPt>
          <c:dPt>
            <c:idx val="2"/>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5-D86E-024C-A3B1-662AB9BA9B92}"/>
              </c:ext>
            </c:extLst>
          </c:dPt>
          <c:dPt>
            <c:idx val="3"/>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7-D86E-024C-A3B1-662AB9BA9B92}"/>
              </c:ext>
            </c:extLst>
          </c:dPt>
          <c:cat>
            <c:strRef>
              <c:f>'PIVOT TABLES'!$D$4:$D$8</c:f>
              <c:strCache>
                <c:ptCount val="4"/>
                <c:pt idx="0">
                  <c:v>Cash</c:v>
                </c:pt>
                <c:pt idx="1">
                  <c:v>Credit Card</c:v>
                </c:pt>
                <c:pt idx="2">
                  <c:v>Gift Card</c:v>
                </c:pt>
                <c:pt idx="3">
                  <c:v>Mobile Pay</c:v>
                </c:pt>
              </c:strCache>
            </c:strRef>
          </c:cat>
          <c:val>
            <c:numRef>
              <c:f>'PIVOT TABLES'!$E$4:$E$8</c:f>
              <c:numCache>
                <c:formatCode>#,##0.00</c:formatCode>
                <c:ptCount val="4"/>
                <c:pt idx="0">
                  <c:v>2828.1199999999994</c:v>
                </c:pt>
                <c:pt idx="1">
                  <c:v>2599.6500000000005</c:v>
                </c:pt>
                <c:pt idx="2">
                  <c:v>2766.0800000000008</c:v>
                </c:pt>
                <c:pt idx="3">
                  <c:v>2665.5200000000004</c:v>
                </c:pt>
              </c:numCache>
            </c:numRef>
          </c:val>
          <c:extLst>
            <c:ext xmlns:c16="http://schemas.microsoft.com/office/drawing/2014/chart" uri="{C3380CC4-5D6E-409C-BE32-E72D297353CC}">
              <c16:uniqueId val="{00000008-D86E-024C-A3B1-662AB9BA9B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[starbucks_sales_dashboard.xlsx]PIVOT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line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A4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TABLES'!$B$38</c:f>
              <c:strCache>
                <c:ptCount val="1"/>
                <c:pt idx="0">
                  <c:v>Total</c:v>
                </c:pt>
              </c:strCache>
            </c:strRef>
          </c:tx>
          <c:spPr>
            <a:ln w="28575" cap="rnd">
              <a:solidFill>
                <a:srgbClr val="7A4300"/>
              </a:solidFill>
              <a:round/>
            </a:ln>
            <a:effectLst/>
          </c:spPr>
          <c:marker>
            <c:symbol val="none"/>
          </c:marker>
          <c:cat>
            <c:strRef>
              <c:f>'PIVOT TABLES'!$A$39:$A$132</c:f>
              <c:strCache>
                <c:ptCount val="93"/>
                <c:pt idx="0">
                  <c:v>2024-01-01</c:v>
                </c:pt>
                <c:pt idx="1">
                  <c:v>2024-01-03</c:v>
                </c:pt>
                <c:pt idx="2">
                  <c:v>2024-01-05</c:v>
                </c:pt>
                <c:pt idx="3">
                  <c:v>2024-01-07</c:v>
                </c:pt>
                <c:pt idx="4">
                  <c:v>2024-01-09</c:v>
                </c:pt>
                <c:pt idx="5">
                  <c:v>2024-01-11</c:v>
                </c:pt>
                <c:pt idx="6">
                  <c:v>2024-01-13</c:v>
                </c:pt>
                <c:pt idx="7">
                  <c:v>2024-01-15</c:v>
                </c:pt>
                <c:pt idx="8">
                  <c:v>2024-01-17</c:v>
                </c:pt>
                <c:pt idx="9">
                  <c:v>2024-01-19</c:v>
                </c:pt>
                <c:pt idx="10">
                  <c:v>2024-01-21</c:v>
                </c:pt>
                <c:pt idx="11">
                  <c:v>2024-01-23</c:v>
                </c:pt>
                <c:pt idx="12">
                  <c:v>2024-01-25</c:v>
                </c:pt>
                <c:pt idx="13">
                  <c:v>2024-01-27</c:v>
                </c:pt>
                <c:pt idx="14">
                  <c:v>2024-01-29</c:v>
                </c:pt>
                <c:pt idx="15">
                  <c:v>2024-01-31</c:v>
                </c:pt>
                <c:pt idx="16">
                  <c:v>2024-02-01</c:v>
                </c:pt>
                <c:pt idx="17">
                  <c:v>2024-02-03</c:v>
                </c:pt>
                <c:pt idx="18">
                  <c:v>2024-02-05</c:v>
                </c:pt>
                <c:pt idx="19">
                  <c:v>2024-02-07</c:v>
                </c:pt>
                <c:pt idx="20">
                  <c:v>2024-02-09</c:v>
                </c:pt>
                <c:pt idx="21">
                  <c:v>2024-02-11</c:v>
                </c:pt>
                <c:pt idx="22">
                  <c:v>2024-02-13</c:v>
                </c:pt>
                <c:pt idx="23">
                  <c:v>2024-02-15</c:v>
                </c:pt>
                <c:pt idx="24">
                  <c:v>2024-02-17</c:v>
                </c:pt>
                <c:pt idx="25">
                  <c:v>2024-02-19</c:v>
                </c:pt>
                <c:pt idx="26">
                  <c:v>2024-02-21</c:v>
                </c:pt>
                <c:pt idx="27">
                  <c:v>2024-02-23</c:v>
                </c:pt>
                <c:pt idx="28">
                  <c:v>2024-02-25</c:v>
                </c:pt>
                <c:pt idx="29">
                  <c:v>2024-02-27</c:v>
                </c:pt>
                <c:pt idx="30">
                  <c:v>2024-02-29</c:v>
                </c:pt>
                <c:pt idx="31">
                  <c:v>2024-03-01</c:v>
                </c:pt>
                <c:pt idx="32">
                  <c:v>2024-03-03</c:v>
                </c:pt>
                <c:pt idx="33">
                  <c:v>2024-03-05</c:v>
                </c:pt>
                <c:pt idx="34">
                  <c:v>2024-03-07</c:v>
                </c:pt>
                <c:pt idx="35">
                  <c:v>2024-03-09</c:v>
                </c:pt>
                <c:pt idx="36">
                  <c:v>2024-03-11</c:v>
                </c:pt>
                <c:pt idx="37">
                  <c:v>2024-03-13</c:v>
                </c:pt>
                <c:pt idx="38">
                  <c:v>2024-03-15</c:v>
                </c:pt>
                <c:pt idx="39">
                  <c:v>2024-03-17</c:v>
                </c:pt>
                <c:pt idx="40">
                  <c:v>2024-03-19</c:v>
                </c:pt>
                <c:pt idx="41">
                  <c:v>2024-03-21</c:v>
                </c:pt>
                <c:pt idx="42">
                  <c:v>2024-03-23</c:v>
                </c:pt>
                <c:pt idx="43">
                  <c:v>2024-03-25</c:v>
                </c:pt>
                <c:pt idx="44">
                  <c:v>2024-03-27</c:v>
                </c:pt>
                <c:pt idx="45">
                  <c:v>2024-03-29</c:v>
                </c:pt>
                <c:pt idx="46">
                  <c:v>2024-03-31</c:v>
                </c:pt>
                <c:pt idx="47">
                  <c:v>2024-04-01</c:v>
                </c:pt>
                <c:pt idx="48">
                  <c:v>2024-04-03</c:v>
                </c:pt>
                <c:pt idx="49">
                  <c:v>2024-04-05</c:v>
                </c:pt>
                <c:pt idx="50">
                  <c:v>2024-04-07</c:v>
                </c:pt>
                <c:pt idx="51">
                  <c:v>2024-04-09</c:v>
                </c:pt>
                <c:pt idx="52">
                  <c:v>2024-04-11</c:v>
                </c:pt>
                <c:pt idx="53">
                  <c:v>2024-04-13</c:v>
                </c:pt>
                <c:pt idx="54">
                  <c:v>2024-04-15</c:v>
                </c:pt>
                <c:pt idx="55">
                  <c:v>2024-04-17</c:v>
                </c:pt>
                <c:pt idx="56">
                  <c:v>2024-04-19</c:v>
                </c:pt>
                <c:pt idx="57">
                  <c:v>2024-04-21</c:v>
                </c:pt>
                <c:pt idx="58">
                  <c:v>2024-04-23</c:v>
                </c:pt>
                <c:pt idx="59">
                  <c:v>2024-04-25</c:v>
                </c:pt>
                <c:pt idx="60">
                  <c:v>2024-04-27</c:v>
                </c:pt>
                <c:pt idx="61">
                  <c:v>2024-04-29</c:v>
                </c:pt>
                <c:pt idx="62">
                  <c:v>2024-05-01</c:v>
                </c:pt>
                <c:pt idx="63">
                  <c:v>2024-05-03</c:v>
                </c:pt>
                <c:pt idx="64">
                  <c:v>2024-05-05</c:v>
                </c:pt>
                <c:pt idx="65">
                  <c:v>2024-05-07</c:v>
                </c:pt>
                <c:pt idx="66">
                  <c:v>2024-05-09</c:v>
                </c:pt>
                <c:pt idx="67">
                  <c:v>2024-05-11</c:v>
                </c:pt>
                <c:pt idx="68">
                  <c:v>2024-05-13</c:v>
                </c:pt>
                <c:pt idx="69">
                  <c:v>2024-05-15</c:v>
                </c:pt>
                <c:pt idx="70">
                  <c:v>2024-05-17</c:v>
                </c:pt>
                <c:pt idx="71">
                  <c:v>2024-05-19</c:v>
                </c:pt>
                <c:pt idx="72">
                  <c:v>2024-05-21</c:v>
                </c:pt>
                <c:pt idx="73">
                  <c:v>2024-05-23</c:v>
                </c:pt>
                <c:pt idx="74">
                  <c:v>2024-05-25</c:v>
                </c:pt>
                <c:pt idx="75">
                  <c:v>2024-05-27</c:v>
                </c:pt>
                <c:pt idx="76">
                  <c:v>2024-05-29</c:v>
                </c:pt>
                <c:pt idx="77">
                  <c:v>2024-05-31</c:v>
                </c:pt>
                <c:pt idx="78">
                  <c:v>2024-06-01</c:v>
                </c:pt>
                <c:pt idx="79">
                  <c:v>2024-06-03</c:v>
                </c:pt>
                <c:pt idx="80">
                  <c:v>2024-06-05</c:v>
                </c:pt>
                <c:pt idx="81">
                  <c:v>2024-06-07</c:v>
                </c:pt>
                <c:pt idx="82">
                  <c:v>2024-06-09</c:v>
                </c:pt>
                <c:pt idx="83">
                  <c:v>2024-06-11</c:v>
                </c:pt>
                <c:pt idx="84">
                  <c:v>2024-06-13</c:v>
                </c:pt>
                <c:pt idx="85">
                  <c:v>2024-06-15</c:v>
                </c:pt>
                <c:pt idx="86">
                  <c:v>2024-06-17</c:v>
                </c:pt>
                <c:pt idx="87">
                  <c:v>2024-06-19</c:v>
                </c:pt>
                <c:pt idx="88">
                  <c:v>2024-06-21</c:v>
                </c:pt>
                <c:pt idx="89">
                  <c:v>2024-06-23</c:v>
                </c:pt>
                <c:pt idx="90">
                  <c:v>2024-06-25</c:v>
                </c:pt>
                <c:pt idx="91">
                  <c:v>2024-06-27</c:v>
                </c:pt>
                <c:pt idx="92">
                  <c:v>2024-06-29</c:v>
                </c:pt>
              </c:strCache>
            </c:strRef>
          </c:cat>
          <c:val>
            <c:numRef>
              <c:f>'PIVOT TABLES'!$B$39:$B$132</c:f>
              <c:numCache>
                <c:formatCode>#,##0.00</c:formatCode>
                <c:ptCount val="93"/>
                <c:pt idx="0">
                  <c:v>25</c:v>
                </c:pt>
                <c:pt idx="1">
                  <c:v>90.93</c:v>
                </c:pt>
                <c:pt idx="2">
                  <c:v>16.96</c:v>
                </c:pt>
                <c:pt idx="3">
                  <c:v>94.1</c:v>
                </c:pt>
                <c:pt idx="4">
                  <c:v>47.46</c:v>
                </c:pt>
                <c:pt idx="5">
                  <c:v>34.58</c:v>
                </c:pt>
                <c:pt idx="6">
                  <c:v>49.2</c:v>
                </c:pt>
                <c:pt idx="7">
                  <c:v>44.4</c:v>
                </c:pt>
                <c:pt idx="8">
                  <c:v>26.85</c:v>
                </c:pt>
                <c:pt idx="9">
                  <c:v>60.72</c:v>
                </c:pt>
                <c:pt idx="10">
                  <c:v>30.8</c:v>
                </c:pt>
                <c:pt idx="11">
                  <c:v>14.92</c:v>
                </c:pt>
                <c:pt idx="12">
                  <c:v>71.52</c:v>
                </c:pt>
                <c:pt idx="13">
                  <c:v>44.8</c:v>
                </c:pt>
                <c:pt idx="14">
                  <c:v>30.64</c:v>
                </c:pt>
                <c:pt idx="15">
                  <c:v>18.989999999999998</c:v>
                </c:pt>
                <c:pt idx="16">
                  <c:v>108.22</c:v>
                </c:pt>
                <c:pt idx="17">
                  <c:v>7.04</c:v>
                </c:pt>
                <c:pt idx="18">
                  <c:v>16.68</c:v>
                </c:pt>
                <c:pt idx="19">
                  <c:v>17.850000000000001</c:v>
                </c:pt>
                <c:pt idx="20">
                  <c:v>12.96</c:v>
                </c:pt>
                <c:pt idx="21">
                  <c:v>21.51</c:v>
                </c:pt>
                <c:pt idx="22">
                  <c:v>55.6</c:v>
                </c:pt>
                <c:pt idx="23">
                  <c:v>36.119999999999997</c:v>
                </c:pt>
                <c:pt idx="24">
                  <c:v>3.88</c:v>
                </c:pt>
                <c:pt idx="25">
                  <c:v>21.42</c:v>
                </c:pt>
                <c:pt idx="26">
                  <c:v>23.58</c:v>
                </c:pt>
                <c:pt idx="27">
                  <c:v>21</c:v>
                </c:pt>
                <c:pt idx="28">
                  <c:v>15.58</c:v>
                </c:pt>
                <c:pt idx="29">
                  <c:v>68.64</c:v>
                </c:pt>
                <c:pt idx="30">
                  <c:v>19.440000000000001</c:v>
                </c:pt>
                <c:pt idx="31">
                  <c:v>59.36</c:v>
                </c:pt>
                <c:pt idx="32">
                  <c:v>31.12</c:v>
                </c:pt>
                <c:pt idx="33">
                  <c:v>12.98</c:v>
                </c:pt>
                <c:pt idx="34">
                  <c:v>9.49</c:v>
                </c:pt>
                <c:pt idx="35">
                  <c:v>12.66</c:v>
                </c:pt>
                <c:pt idx="36">
                  <c:v>26.39</c:v>
                </c:pt>
                <c:pt idx="37">
                  <c:v>14</c:v>
                </c:pt>
                <c:pt idx="38">
                  <c:v>30.59</c:v>
                </c:pt>
                <c:pt idx="39">
                  <c:v>23.8</c:v>
                </c:pt>
                <c:pt idx="40">
                  <c:v>54.53</c:v>
                </c:pt>
                <c:pt idx="41">
                  <c:v>34.68</c:v>
                </c:pt>
                <c:pt idx="42">
                  <c:v>48.48</c:v>
                </c:pt>
                <c:pt idx="43">
                  <c:v>14.58</c:v>
                </c:pt>
                <c:pt idx="44">
                  <c:v>25.08</c:v>
                </c:pt>
                <c:pt idx="45">
                  <c:v>63.24</c:v>
                </c:pt>
                <c:pt idx="46">
                  <c:v>41.65</c:v>
                </c:pt>
                <c:pt idx="47">
                  <c:v>5.94</c:v>
                </c:pt>
                <c:pt idx="48">
                  <c:v>18.3</c:v>
                </c:pt>
                <c:pt idx="49">
                  <c:v>30.2</c:v>
                </c:pt>
                <c:pt idx="50">
                  <c:v>17.760000000000002</c:v>
                </c:pt>
                <c:pt idx="51">
                  <c:v>16.84</c:v>
                </c:pt>
                <c:pt idx="52">
                  <c:v>72.52</c:v>
                </c:pt>
                <c:pt idx="53">
                  <c:v>52.1</c:v>
                </c:pt>
                <c:pt idx="54">
                  <c:v>34.9</c:v>
                </c:pt>
                <c:pt idx="55">
                  <c:v>23.79</c:v>
                </c:pt>
                <c:pt idx="56">
                  <c:v>14.54</c:v>
                </c:pt>
                <c:pt idx="57">
                  <c:v>20.76</c:v>
                </c:pt>
                <c:pt idx="58">
                  <c:v>31.5</c:v>
                </c:pt>
                <c:pt idx="59">
                  <c:v>140.35</c:v>
                </c:pt>
                <c:pt idx="60">
                  <c:v>24.15</c:v>
                </c:pt>
                <c:pt idx="61">
                  <c:v>18.600000000000001</c:v>
                </c:pt>
                <c:pt idx="62">
                  <c:v>30.4</c:v>
                </c:pt>
                <c:pt idx="63">
                  <c:v>13.8</c:v>
                </c:pt>
                <c:pt idx="64">
                  <c:v>17.34</c:v>
                </c:pt>
                <c:pt idx="65">
                  <c:v>124.95</c:v>
                </c:pt>
                <c:pt idx="66">
                  <c:v>22.23</c:v>
                </c:pt>
                <c:pt idx="67">
                  <c:v>107.38</c:v>
                </c:pt>
                <c:pt idx="68">
                  <c:v>31.28</c:v>
                </c:pt>
                <c:pt idx="69">
                  <c:v>8.8800000000000008</c:v>
                </c:pt>
                <c:pt idx="70">
                  <c:v>38.340000000000003</c:v>
                </c:pt>
                <c:pt idx="71">
                  <c:v>46.13</c:v>
                </c:pt>
                <c:pt idx="72">
                  <c:v>33.11</c:v>
                </c:pt>
                <c:pt idx="73">
                  <c:v>79</c:v>
                </c:pt>
                <c:pt idx="74">
                  <c:v>34.79</c:v>
                </c:pt>
                <c:pt idx="75">
                  <c:v>35.36</c:v>
                </c:pt>
                <c:pt idx="76">
                  <c:v>80.7</c:v>
                </c:pt>
                <c:pt idx="77">
                  <c:v>10.35</c:v>
                </c:pt>
                <c:pt idx="78">
                  <c:v>46.48</c:v>
                </c:pt>
                <c:pt idx="79">
                  <c:v>29.56</c:v>
                </c:pt>
                <c:pt idx="80">
                  <c:v>15.03</c:v>
                </c:pt>
                <c:pt idx="81">
                  <c:v>8.6199999999999992</c:v>
                </c:pt>
                <c:pt idx="82">
                  <c:v>119.28</c:v>
                </c:pt>
                <c:pt idx="83">
                  <c:v>132.86000000000001</c:v>
                </c:pt>
                <c:pt idx="84">
                  <c:v>62.72</c:v>
                </c:pt>
                <c:pt idx="85">
                  <c:v>31.6</c:v>
                </c:pt>
                <c:pt idx="86">
                  <c:v>39.36</c:v>
                </c:pt>
                <c:pt idx="87">
                  <c:v>33.53</c:v>
                </c:pt>
                <c:pt idx="88">
                  <c:v>53.82</c:v>
                </c:pt>
                <c:pt idx="89">
                  <c:v>72.94</c:v>
                </c:pt>
                <c:pt idx="90">
                  <c:v>10.57</c:v>
                </c:pt>
                <c:pt idx="91">
                  <c:v>65.64</c:v>
                </c:pt>
                <c:pt idx="92">
                  <c:v>39.200000000000003</c:v>
                </c:pt>
              </c:numCache>
            </c:numRef>
          </c:val>
          <c:smooth val="0"/>
          <c:extLst>
            <c:ext xmlns:c16="http://schemas.microsoft.com/office/drawing/2014/chart" uri="{C3380CC4-5D6E-409C-BE32-E72D297353CC}">
              <c16:uniqueId val="{00000000-75D4-EC42-80B0-517FF5BD60FD}"/>
            </c:ext>
          </c:extLst>
        </c:ser>
        <c:dLbls>
          <c:showLegendKey val="0"/>
          <c:showVal val="0"/>
          <c:showCatName val="0"/>
          <c:showSerName val="0"/>
          <c:showPercent val="0"/>
          <c:showBubbleSize val="0"/>
        </c:dLbls>
        <c:smooth val="0"/>
        <c:axId val="266974544"/>
        <c:axId val="267076736"/>
      </c:lineChart>
      <c:catAx>
        <c:axId val="266974544"/>
        <c:scaling>
          <c:orientation val="minMax"/>
        </c:scaling>
        <c:delete val="1"/>
        <c:axPos val="b"/>
        <c:numFmt formatCode="General" sourceLinked="1"/>
        <c:majorTickMark val="none"/>
        <c:minorTickMark val="none"/>
        <c:tickLblPos val="nextTo"/>
        <c:crossAx val="267076736"/>
        <c:crosses val="autoZero"/>
        <c:auto val="1"/>
        <c:lblAlgn val="ctr"/>
        <c:lblOffset val="100"/>
        <c:noMultiLvlLbl val="0"/>
      </c:catAx>
      <c:valAx>
        <c:axId val="267076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[starbucks_sales_dashboard.xlsx]PIVOT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TABLES'!$B$38</c:f>
              <c:strCache>
                <c:ptCount val="1"/>
                <c:pt idx="0">
                  <c:v>Total</c:v>
                </c:pt>
              </c:strCache>
            </c:strRef>
          </c:tx>
          <c:spPr>
            <a:ln w="28575" cap="rnd">
              <a:solidFill>
                <a:schemeClr val="accent1"/>
              </a:solidFill>
              <a:round/>
            </a:ln>
            <a:effectLst/>
          </c:spPr>
          <c:marker>
            <c:symbol val="none"/>
          </c:marker>
          <c:cat>
            <c:strRef>
              <c:f>'PIVOT TABLES'!$A$39:$A$132</c:f>
              <c:strCache>
                <c:ptCount val="93"/>
                <c:pt idx="0">
                  <c:v>2024-01-01</c:v>
                </c:pt>
                <c:pt idx="1">
                  <c:v>2024-01-03</c:v>
                </c:pt>
                <c:pt idx="2">
                  <c:v>2024-01-05</c:v>
                </c:pt>
                <c:pt idx="3">
                  <c:v>2024-01-07</c:v>
                </c:pt>
                <c:pt idx="4">
                  <c:v>2024-01-09</c:v>
                </c:pt>
                <c:pt idx="5">
                  <c:v>2024-01-11</c:v>
                </c:pt>
                <c:pt idx="6">
                  <c:v>2024-01-13</c:v>
                </c:pt>
                <c:pt idx="7">
                  <c:v>2024-01-15</c:v>
                </c:pt>
                <c:pt idx="8">
                  <c:v>2024-01-17</c:v>
                </c:pt>
                <c:pt idx="9">
                  <c:v>2024-01-19</c:v>
                </c:pt>
                <c:pt idx="10">
                  <c:v>2024-01-21</c:v>
                </c:pt>
                <c:pt idx="11">
                  <c:v>2024-01-23</c:v>
                </c:pt>
                <c:pt idx="12">
                  <c:v>2024-01-25</c:v>
                </c:pt>
                <c:pt idx="13">
                  <c:v>2024-01-27</c:v>
                </c:pt>
                <c:pt idx="14">
                  <c:v>2024-01-29</c:v>
                </c:pt>
                <c:pt idx="15">
                  <c:v>2024-01-31</c:v>
                </c:pt>
                <c:pt idx="16">
                  <c:v>2024-02-01</c:v>
                </c:pt>
                <c:pt idx="17">
                  <c:v>2024-02-03</c:v>
                </c:pt>
                <c:pt idx="18">
                  <c:v>2024-02-05</c:v>
                </c:pt>
                <c:pt idx="19">
                  <c:v>2024-02-07</c:v>
                </c:pt>
                <c:pt idx="20">
                  <c:v>2024-02-09</c:v>
                </c:pt>
                <c:pt idx="21">
                  <c:v>2024-02-11</c:v>
                </c:pt>
                <c:pt idx="22">
                  <c:v>2024-02-13</c:v>
                </c:pt>
                <c:pt idx="23">
                  <c:v>2024-02-15</c:v>
                </c:pt>
                <c:pt idx="24">
                  <c:v>2024-02-17</c:v>
                </c:pt>
                <c:pt idx="25">
                  <c:v>2024-02-19</c:v>
                </c:pt>
                <c:pt idx="26">
                  <c:v>2024-02-21</c:v>
                </c:pt>
                <c:pt idx="27">
                  <c:v>2024-02-23</c:v>
                </c:pt>
                <c:pt idx="28">
                  <c:v>2024-02-25</c:v>
                </c:pt>
                <c:pt idx="29">
                  <c:v>2024-02-27</c:v>
                </c:pt>
                <c:pt idx="30">
                  <c:v>2024-02-29</c:v>
                </c:pt>
                <c:pt idx="31">
                  <c:v>2024-03-01</c:v>
                </c:pt>
                <c:pt idx="32">
                  <c:v>2024-03-03</c:v>
                </c:pt>
                <c:pt idx="33">
                  <c:v>2024-03-05</c:v>
                </c:pt>
                <c:pt idx="34">
                  <c:v>2024-03-07</c:v>
                </c:pt>
                <c:pt idx="35">
                  <c:v>2024-03-09</c:v>
                </c:pt>
                <c:pt idx="36">
                  <c:v>2024-03-11</c:v>
                </c:pt>
                <c:pt idx="37">
                  <c:v>2024-03-13</c:v>
                </c:pt>
                <c:pt idx="38">
                  <c:v>2024-03-15</c:v>
                </c:pt>
                <c:pt idx="39">
                  <c:v>2024-03-17</c:v>
                </c:pt>
                <c:pt idx="40">
                  <c:v>2024-03-19</c:v>
                </c:pt>
                <c:pt idx="41">
                  <c:v>2024-03-21</c:v>
                </c:pt>
                <c:pt idx="42">
                  <c:v>2024-03-23</c:v>
                </c:pt>
                <c:pt idx="43">
                  <c:v>2024-03-25</c:v>
                </c:pt>
                <c:pt idx="44">
                  <c:v>2024-03-27</c:v>
                </c:pt>
                <c:pt idx="45">
                  <c:v>2024-03-29</c:v>
                </c:pt>
                <c:pt idx="46">
                  <c:v>2024-03-31</c:v>
                </c:pt>
                <c:pt idx="47">
                  <c:v>2024-04-01</c:v>
                </c:pt>
                <c:pt idx="48">
                  <c:v>2024-04-03</c:v>
                </c:pt>
                <c:pt idx="49">
                  <c:v>2024-04-05</c:v>
                </c:pt>
                <c:pt idx="50">
                  <c:v>2024-04-07</c:v>
                </c:pt>
                <c:pt idx="51">
                  <c:v>2024-04-09</c:v>
                </c:pt>
                <c:pt idx="52">
                  <c:v>2024-04-11</c:v>
                </c:pt>
                <c:pt idx="53">
                  <c:v>2024-04-13</c:v>
                </c:pt>
                <c:pt idx="54">
                  <c:v>2024-04-15</c:v>
                </c:pt>
                <c:pt idx="55">
                  <c:v>2024-04-17</c:v>
                </c:pt>
                <c:pt idx="56">
                  <c:v>2024-04-19</c:v>
                </c:pt>
                <c:pt idx="57">
                  <c:v>2024-04-21</c:v>
                </c:pt>
                <c:pt idx="58">
                  <c:v>2024-04-23</c:v>
                </c:pt>
                <c:pt idx="59">
                  <c:v>2024-04-25</c:v>
                </c:pt>
                <c:pt idx="60">
                  <c:v>2024-04-27</c:v>
                </c:pt>
                <c:pt idx="61">
                  <c:v>2024-04-29</c:v>
                </c:pt>
                <c:pt idx="62">
                  <c:v>2024-05-01</c:v>
                </c:pt>
                <c:pt idx="63">
                  <c:v>2024-05-03</c:v>
                </c:pt>
                <c:pt idx="64">
                  <c:v>2024-05-05</c:v>
                </c:pt>
                <c:pt idx="65">
                  <c:v>2024-05-07</c:v>
                </c:pt>
                <c:pt idx="66">
                  <c:v>2024-05-09</c:v>
                </c:pt>
                <c:pt idx="67">
                  <c:v>2024-05-11</c:v>
                </c:pt>
                <c:pt idx="68">
                  <c:v>2024-05-13</c:v>
                </c:pt>
                <c:pt idx="69">
                  <c:v>2024-05-15</c:v>
                </c:pt>
                <c:pt idx="70">
                  <c:v>2024-05-17</c:v>
                </c:pt>
                <c:pt idx="71">
                  <c:v>2024-05-19</c:v>
                </c:pt>
                <c:pt idx="72">
                  <c:v>2024-05-21</c:v>
                </c:pt>
                <c:pt idx="73">
                  <c:v>2024-05-23</c:v>
                </c:pt>
                <c:pt idx="74">
                  <c:v>2024-05-25</c:v>
                </c:pt>
                <c:pt idx="75">
                  <c:v>2024-05-27</c:v>
                </c:pt>
                <c:pt idx="76">
                  <c:v>2024-05-29</c:v>
                </c:pt>
                <c:pt idx="77">
                  <c:v>2024-05-31</c:v>
                </c:pt>
                <c:pt idx="78">
                  <c:v>2024-06-01</c:v>
                </c:pt>
                <c:pt idx="79">
                  <c:v>2024-06-03</c:v>
                </c:pt>
                <c:pt idx="80">
                  <c:v>2024-06-05</c:v>
                </c:pt>
                <c:pt idx="81">
                  <c:v>2024-06-07</c:v>
                </c:pt>
                <c:pt idx="82">
                  <c:v>2024-06-09</c:v>
                </c:pt>
                <c:pt idx="83">
                  <c:v>2024-06-11</c:v>
                </c:pt>
                <c:pt idx="84">
                  <c:v>2024-06-13</c:v>
                </c:pt>
                <c:pt idx="85">
                  <c:v>2024-06-15</c:v>
                </c:pt>
                <c:pt idx="86">
                  <c:v>2024-06-17</c:v>
                </c:pt>
                <c:pt idx="87">
                  <c:v>2024-06-19</c:v>
                </c:pt>
                <c:pt idx="88">
                  <c:v>2024-06-21</c:v>
                </c:pt>
                <c:pt idx="89">
                  <c:v>2024-06-23</c:v>
                </c:pt>
                <c:pt idx="90">
                  <c:v>2024-06-25</c:v>
                </c:pt>
                <c:pt idx="91">
                  <c:v>2024-06-27</c:v>
                </c:pt>
                <c:pt idx="92">
                  <c:v>2024-06-29</c:v>
                </c:pt>
              </c:strCache>
            </c:strRef>
          </c:cat>
          <c:val>
            <c:numRef>
              <c:f>'PIVOT TABLES'!$B$39:$B$132</c:f>
              <c:numCache>
                <c:formatCode>#,##0.00</c:formatCode>
                <c:ptCount val="93"/>
                <c:pt idx="0">
                  <c:v>25</c:v>
                </c:pt>
                <c:pt idx="1">
                  <c:v>90.93</c:v>
                </c:pt>
                <c:pt idx="2">
                  <c:v>16.96</c:v>
                </c:pt>
                <c:pt idx="3">
                  <c:v>94.1</c:v>
                </c:pt>
                <c:pt idx="4">
                  <c:v>47.46</c:v>
                </c:pt>
                <c:pt idx="5">
                  <c:v>34.58</c:v>
                </c:pt>
                <c:pt idx="6">
                  <c:v>49.2</c:v>
                </c:pt>
                <c:pt idx="7">
                  <c:v>44.4</c:v>
                </c:pt>
                <c:pt idx="8">
                  <c:v>26.85</c:v>
                </c:pt>
                <c:pt idx="9">
                  <c:v>60.72</c:v>
                </c:pt>
                <c:pt idx="10">
                  <c:v>30.8</c:v>
                </c:pt>
                <c:pt idx="11">
                  <c:v>14.92</c:v>
                </c:pt>
                <c:pt idx="12">
                  <c:v>71.52</c:v>
                </c:pt>
                <c:pt idx="13">
                  <c:v>44.8</c:v>
                </c:pt>
                <c:pt idx="14">
                  <c:v>30.64</c:v>
                </c:pt>
                <c:pt idx="15">
                  <c:v>18.989999999999998</c:v>
                </c:pt>
                <c:pt idx="16">
                  <c:v>108.22</c:v>
                </c:pt>
                <c:pt idx="17">
                  <c:v>7.04</c:v>
                </c:pt>
                <c:pt idx="18">
                  <c:v>16.68</c:v>
                </c:pt>
                <c:pt idx="19">
                  <c:v>17.850000000000001</c:v>
                </c:pt>
                <c:pt idx="20">
                  <c:v>12.96</c:v>
                </c:pt>
                <c:pt idx="21">
                  <c:v>21.51</c:v>
                </c:pt>
                <c:pt idx="22">
                  <c:v>55.6</c:v>
                </c:pt>
                <c:pt idx="23">
                  <c:v>36.119999999999997</c:v>
                </c:pt>
                <c:pt idx="24">
                  <c:v>3.88</c:v>
                </c:pt>
                <c:pt idx="25">
                  <c:v>21.42</c:v>
                </c:pt>
                <c:pt idx="26">
                  <c:v>23.58</c:v>
                </c:pt>
                <c:pt idx="27">
                  <c:v>21</c:v>
                </c:pt>
                <c:pt idx="28">
                  <c:v>15.58</c:v>
                </c:pt>
                <c:pt idx="29">
                  <c:v>68.64</c:v>
                </c:pt>
                <c:pt idx="30">
                  <c:v>19.440000000000001</c:v>
                </c:pt>
                <c:pt idx="31">
                  <c:v>59.36</c:v>
                </c:pt>
                <c:pt idx="32">
                  <c:v>31.12</c:v>
                </c:pt>
                <c:pt idx="33">
                  <c:v>12.98</c:v>
                </c:pt>
                <c:pt idx="34">
                  <c:v>9.49</c:v>
                </c:pt>
                <c:pt idx="35">
                  <c:v>12.66</c:v>
                </c:pt>
                <c:pt idx="36">
                  <c:v>26.39</c:v>
                </c:pt>
                <c:pt idx="37">
                  <c:v>14</c:v>
                </c:pt>
                <c:pt idx="38">
                  <c:v>30.59</c:v>
                </c:pt>
                <c:pt idx="39">
                  <c:v>23.8</c:v>
                </c:pt>
                <c:pt idx="40">
                  <c:v>54.53</c:v>
                </c:pt>
                <c:pt idx="41">
                  <c:v>34.68</c:v>
                </c:pt>
                <c:pt idx="42">
                  <c:v>48.48</c:v>
                </c:pt>
                <c:pt idx="43">
                  <c:v>14.58</c:v>
                </c:pt>
                <c:pt idx="44">
                  <c:v>25.08</c:v>
                </c:pt>
                <c:pt idx="45">
                  <c:v>63.24</c:v>
                </c:pt>
                <c:pt idx="46">
                  <c:v>41.65</c:v>
                </c:pt>
                <c:pt idx="47">
                  <c:v>5.94</c:v>
                </c:pt>
                <c:pt idx="48">
                  <c:v>18.3</c:v>
                </c:pt>
                <c:pt idx="49">
                  <c:v>30.2</c:v>
                </c:pt>
                <c:pt idx="50">
                  <c:v>17.760000000000002</c:v>
                </c:pt>
                <c:pt idx="51">
                  <c:v>16.84</c:v>
                </c:pt>
                <c:pt idx="52">
                  <c:v>72.52</c:v>
                </c:pt>
                <c:pt idx="53">
                  <c:v>52.1</c:v>
                </c:pt>
                <c:pt idx="54">
                  <c:v>34.9</c:v>
                </c:pt>
                <c:pt idx="55">
                  <c:v>23.79</c:v>
                </c:pt>
                <c:pt idx="56">
                  <c:v>14.54</c:v>
                </c:pt>
                <c:pt idx="57">
                  <c:v>20.76</c:v>
                </c:pt>
                <c:pt idx="58">
                  <c:v>31.5</c:v>
                </c:pt>
                <c:pt idx="59">
                  <c:v>140.35</c:v>
                </c:pt>
                <c:pt idx="60">
                  <c:v>24.15</c:v>
                </c:pt>
                <c:pt idx="61">
                  <c:v>18.600000000000001</c:v>
                </c:pt>
                <c:pt idx="62">
                  <c:v>30.4</c:v>
                </c:pt>
                <c:pt idx="63">
                  <c:v>13.8</c:v>
                </c:pt>
                <c:pt idx="64">
                  <c:v>17.34</c:v>
                </c:pt>
                <c:pt idx="65">
                  <c:v>124.95</c:v>
                </c:pt>
                <c:pt idx="66">
                  <c:v>22.23</c:v>
                </c:pt>
                <c:pt idx="67">
                  <c:v>107.38</c:v>
                </c:pt>
                <c:pt idx="68">
                  <c:v>31.28</c:v>
                </c:pt>
                <c:pt idx="69">
                  <c:v>8.8800000000000008</c:v>
                </c:pt>
                <c:pt idx="70">
                  <c:v>38.340000000000003</c:v>
                </c:pt>
                <c:pt idx="71">
                  <c:v>46.13</c:v>
                </c:pt>
                <c:pt idx="72">
                  <c:v>33.11</c:v>
                </c:pt>
                <c:pt idx="73">
                  <c:v>79</c:v>
                </c:pt>
                <c:pt idx="74">
                  <c:v>34.79</c:v>
                </c:pt>
                <c:pt idx="75">
                  <c:v>35.36</c:v>
                </c:pt>
                <c:pt idx="76">
                  <c:v>80.7</c:v>
                </c:pt>
                <c:pt idx="77">
                  <c:v>10.35</c:v>
                </c:pt>
                <c:pt idx="78">
                  <c:v>46.48</c:v>
                </c:pt>
                <c:pt idx="79">
                  <c:v>29.56</c:v>
                </c:pt>
                <c:pt idx="80">
                  <c:v>15.03</c:v>
                </c:pt>
                <c:pt idx="81">
                  <c:v>8.6199999999999992</c:v>
                </c:pt>
                <c:pt idx="82">
                  <c:v>119.28</c:v>
                </c:pt>
                <c:pt idx="83">
                  <c:v>132.86000000000001</c:v>
                </c:pt>
                <c:pt idx="84">
                  <c:v>62.72</c:v>
                </c:pt>
                <c:pt idx="85">
                  <c:v>31.6</c:v>
                </c:pt>
                <c:pt idx="86">
                  <c:v>39.36</c:v>
                </c:pt>
                <c:pt idx="87">
                  <c:v>33.53</c:v>
                </c:pt>
                <c:pt idx="88">
                  <c:v>53.82</c:v>
                </c:pt>
                <c:pt idx="89">
                  <c:v>72.94</c:v>
                </c:pt>
                <c:pt idx="90">
                  <c:v>10.57</c:v>
                </c:pt>
                <c:pt idx="91">
                  <c:v>65.64</c:v>
                </c:pt>
                <c:pt idx="92">
                  <c:v>39.200000000000003</c:v>
                </c:pt>
              </c:numCache>
            </c:numRef>
          </c:val>
          <c:smooth val="0"/>
          <c:extLst>
            <c:ext xmlns:c16="http://schemas.microsoft.com/office/drawing/2014/chart" uri="{C3380CC4-5D6E-409C-BE32-E72D297353CC}">
              <c16:uniqueId val="{00000000-B464-4144-9D05-6D4810A1CF9A}"/>
            </c:ext>
          </c:extLst>
        </c:ser>
        <c:dLbls>
          <c:showLegendKey val="0"/>
          <c:showVal val="0"/>
          <c:showCatName val="0"/>
          <c:showSerName val="0"/>
          <c:showPercent val="0"/>
          <c:showBubbleSize val="0"/>
        </c:dLbls>
        <c:smooth val="0"/>
        <c:axId val="146915680"/>
        <c:axId val="146824496"/>
      </c:lineChart>
      <c:catAx>
        <c:axId val="1469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24496"/>
        <c:crosses val="autoZero"/>
        <c:auto val="1"/>
        <c:lblAlgn val="ctr"/>
        <c:lblOffset val="100"/>
        <c:noMultiLvlLbl val="0"/>
      </c:catAx>
      <c:valAx>
        <c:axId val="146824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1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[starbucks_sales_dashboard.xlsx]PIVOT TABLES!PivotTable4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TABLES'!$B$38</c:f>
              <c:strCache>
                <c:ptCount val="1"/>
                <c:pt idx="0">
                  <c:v>Total</c:v>
                </c:pt>
              </c:strCache>
            </c:strRef>
          </c:tx>
          <c:spPr>
            <a:ln w="28575" cap="rnd">
              <a:solidFill>
                <a:schemeClr val="accent1"/>
              </a:solidFill>
              <a:round/>
            </a:ln>
            <a:effectLst/>
          </c:spPr>
          <c:marker>
            <c:symbol val="none"/>
          </c:marker>
          <c:cat>
            <c:strRef>
              <c:f>'PIVOT TABLES'!$A$39:$A$132</c:f>
              <c:strCache>
                <c:ptCount val="93"/>
                <c:pt idx="0">
                  <c:v>2024-01-01</c:v>
                </c:pt>
                <c:pt idx="1">
                  <c:v>2024-01-03</c:v>
                </c:pt>
                <c:pt idx="2">
                  <c:v>2024-01-05</c:v>
                </c:pt>
                <c:pt idx="3">
                  <c:v>2024-01-07</c:v>
                </c:pt>
                <c:pt idx="4">
                  <c:v>2024-01-09</c:v>
                </c:pt>
                <c:pt idx="5">
                  <c:v>2024-01-11</c:v>
                </c:pt>
                <c:pt idx="6">
                  <c:v>2024-01-13</c:v>
                </c:pt>
                <c:pt idx="7">
                  <c:v>2024-01-15</c:v>
                </c:pt>
                <c:pt idx="8">
                  <c:v>2024-01-17</c:v>
                </c:pt>
                <c:pt idx="9">
                  <c:v>2024-01-19</c:v>
                </c:pt>
                <c:pt idx="10">
                  <c:v>2024-01-21</c:v>
                </c:pt>
                <c:pt idx="11">
                  <c:v>2024-01-23</c:v>
                </c:pt>
                <c:pt idx="12">
                  <c:v>2024-01-25</c:v>
                </c:pt>
                <c:pt idx="13">
                  <c:v>2024-01-27</c:v>
                </c:pt>
                <c:pt idx="14">
                  <c:v>2024-01-29</c:v>
                </c:pt>
                <c:pt idx="15">
                  <c:v>2024-01-31</c:v>
                </c:pt>
                <c:pt idx="16">
                  <c:v>2024-02-01</c:v>
                </c:pt>
                <c:pt idx="17">
                  <c:v>2024-02-03</c:v>
                </c:pt>
                <c:pt idx="18">
                  <c:v>2024-02-05</c:v>
                </c:pt>
                <c:pt idx="19">
                  <c:v>2024-02-07</c:v>
                </c:pt>
                <c:pt idx="20">
                  <c:v>2024-02-09</c:v>
                </c:pt>
                <c:pt idx="21">
                  <c:v>2024-02-11</c:v>
                </c:pt>
                <c:pt idx="22">
                  <c:v>2024-02-13</c:v>
                </c:pt>
                <c:pt idx="23">
                  <c:v>2024-02-15</c:v>
                </c:pt>
                <c:pt idx="24">
                  <c:v>2024-02-17</c:v>
                </c:pt>
                <c:pt idx="25">
                  <c:v>2024-02-19</c:v>
                </c:pt>
                <c:pt idx="26">
                  <c:v>2024-02-21</c:v>
                </c:pt>
                <c:pt idx="27">
                  <c:v>2024-02-23</c:v>
                </c:pt>
                <c:pt idx="28">
                  <c:v>2024-02-25</c:v>
                </c:pt>
                <c:pt idx="29">
                  <c:v>2024-02-27</c:v>
                </c:pt>
                <c:pt idx="30">
                  <c:v>2024-02-29</c:v>
                </c:pt>
                <c:pt idx="31">
                  <c:v>2024-03-01</c:v>
                </c:pt>
                <c:pt idx="32">
                  <c:v>2024-03-03</c:v>
                </c:pt>
                <c:pt idx="33">
                  <c:v>2024-03-05</c:v>
                </c:pt>
                <c:pt idx="34">
                  <c:v>2024-03-07</c:v>
                </c:pt>
                <c:pt idx="35">
                  <c:v>2024-03-09</c:v>
                </c:pt>
                <c:pt idx="36">
                  <c:v>2024-03-11</c:v>
                </c:pt>
                <c:pt idx="37">
                  <c:v>2024-03-13</c:v>
                </c:pt>
                <c:pt idx="38">
                  <c:v>2024-03-15</c:v>
                </c:pt>
                <c:pt idx="39">
                  <c:v>2024-03-17</c:v>
                </c:pt>
                <c:pt idx="40">
                  <c:v>2024-03-19</c:v>
                </c:pt>
                <c:pt idx="41">
                  <c:v>2024-03-21</c:v>
                </c:pt>
                <c:pt idx="42">
                  <c:v>2024-03-23</c:v>
                </c:pt>
                <c:pt idx="43">
                  <c:v>2024-03-25</c:v>
                </c:pt>
                <c:pt idx="44">
                  <c:v>2024-03-27</c:v>
                </c:pt>
                <c:pt idx="45">
                  <c:v>2024-03-29</c:v>
                </c:pt>
                <c:pt idx="46">
                  <c:v>2024-03-31</c:v>
                </c:pt>
                <c:pt idx="47">
                  <c:v>2024-04-01</c:v>
                </c:pt>
                <c:pt idx="48">
                  <c:v>2024-04-03</c:v>
                </c:pt>
                <c:pt idx="49">
                  <c:v>2024-04-05</c:v>
                </c:pt>
                <c:pt idx="50">
                  <c:v>2024-04-07</c:v>
                </c:pt>
                <c:pt idx="51">
                  <c:v>2024-04-09</c:v>
                </c:pt>
                <c:pt idx="52">
                  <c:v>2024-04-11</c:v>
                </c:pt>
                <c:pt idx="53">
                  <c:v>2024-04-13</c:v>
                </c:pt>
                <c:pt idx="54">
                  <c:v>2024-04-15</c:v>
                </c:pt>
                <c:pt idx="55">
                  <c:v>2024-04-17</c:v>
                </c:pt>
                <c:pt idx="56">
                  <c:v>2024-04-19</c:v>
                </c:pt>
                <c:pt idx="57">
                  <c:v>2024-04-21</c:v>
                </c:pt>
                <c:pt idx="58">
                  <c:v>2024-04-23</c:v>
                </c:pt>
                <c:pt idx="59">
                  <c:v>2024-04-25</c:v>
                </c:pt>
                <c:pt idx="60">
                  <c:v>2024-04-27</c:v>
                </c:pt>
                <c:pt idx="61">
                  <c:v>2024-04-29</c:v>
                </c:pt>
                <c:pt idx="62">
                  <c:v>2024-05-01</c:v>
                </c:pt>
                <c:pt idx="63">
                  <c:v>2024-05-03</c:v>
                </c:pt>
                <c:pt idx="64">
                  <c:v>2024-05-05</c:v>
                </c:pt>
                <c:pt idx="65">
                  <c:v>2024-05-07</c:v>
                </c:pt>
                <c:pt idx="66">
                  <c:v>2024-05-09</c:v>
                </c:pt>
                <c:pt idx="67">
                  <c:v>2024-05-11</c:v>
                </c:pt>
                <c:pt idx="68">
                  <c:v>2024-05-13</c:v>
                </c:pt>
                <c:pt idx="69">
                  <c:v>2024-05-15</c:v>
                </c:pt>
                <c:pt idx="70">
                  <c:v>2024-05-17</c:v>
                </c:pt>
                <c:pt idx="71">
                  <c:v>2024-05-19</c:v>
                </c:pt>
                <c:pt idx="72">
                  <c:v>2024-05-21</c:v>
                </c:pt>
                <c:pt idx="73">
                  <c:v>2024-05-23</c:v>
                </c:pt>
                <c:pt idx="74">
                  <c:v>2024-05-25</c:v>
                </c:pt>
                <c:pt idx="75">
                  <c:v>2024-05-27</c:v>
                </c:pt>
                <c:pt idx="76">
                  <c:v>2024-05-29</c:v>
                </c:pt>
                <c:pt idx="77">
                  <c:v>2024-05-31</c:v>
                </c:pt>
                <c:pt idx="78">
                  <c:v>2024-06-01</c:v>
                </c:pt>
                <c:pt idx="79">
                  <c:v>2024-06-03</c:v>
                </c:pt>
                <c:pt idx="80">
                  <c:v>2024-06-05</c:v>
                </c:pt>
                <c:pt idx="81">
                  <c:v>2024-06-07</c:v>
                </c:pt>
                <c:pt idx="82">
                  <c:v>2024-06-09</c:v>
                </c:pt>
                <c:pt idx="83">
                  <c:v>2024-06-11</c:v>
                </c:pt>
                <c:pt idx="84">
                  <c:v>2024-06-13</c:v>
                </c:pt>
                <c:pt idx="85">
                  <c:v>2024-06-15</c:v>
                </c:pt>
                <c:pt idx="86">
                  <c:v>2024-06-17</c:v>
                </c:pt>
                <c:pt idx="87">
                  <c:v>2024-06-19</c:v>
                </c:pt>
                <c:pt idx="88">
                  <c:v>2024-06-21</c:v>
                </c:pt>
                <c:pt idx="89">
                  <c:v>2024-06-23</c:v>
                </c:pt>
                <c:pt idx="90">
                  <c:v>2024-06-25</c:v>
                </c:pt>
                <c:pt idx="91">
                  <c:v>2024-06-27</c:v>
                </c:pt>
                <c:pt idx="92">
                  <c:v>2024-06-29</c:v>
                </c:pt>
              </c:strCache>
            </c:strRef>
          </c:cat>
          <c:val>
            <c:numRef>
              <c:f>'PIVOT TABLES'!$B$39:$B$132</c:f>
              <c:numCache>
                <c:formatCode>#,##0.00</c:formatCode>
                <c:ptCount val="93"/>
                <c:pt idx="0">
                  <c:v>25</c:v>
                </c:pt>
                <c:pt idx="1">
                  <c:v>90.93</c:v>
                </c:pt>
                <c:pt idx="2">
                  <c:v>16.96</c:v>
                </c:pt>
                <c:pt idx="3">
                  <c:v>94.1</c:v>
                </c:pt>
                <c:pt idx="4">
                  <c:v>47.46</c:v>
                </c:pt>
                <c:pt idx="5">
                  <c:v>34.58</c:v>
                </c:pt>
                <c:pt idx="6">
                  <c:v>49.2</c:v>
                </c:pt>
                <c:pt idx="7">
                  <c:v>44.4</c:v>
                </c:pt>
                <c:pt idx="8">
                  <c:v>26.85</c:v>
                </c:pt>
                <c:pt idx="9">
                  <c:v>60.72</c:v>
                </c:pt>
                <c:pt idx="10">
                  <c:v>30.8</c:v>
                </c:pt>
                <c:pt idx="11">
                  <c:v>14.92</c:v>
                </c:pt>
                <c:pt idx="12">
                  <c:v>71.52</c:v>
                </c:pt>
                <c:pt idx="13">
                  <c:v>44.8</c:v>
                </c:pt>
                <c:pt idx="14">
                  <c:v>30.64</c:v>
                </c:pt>
                <c:pt idx="15">
                  <c:v>18.989999999999998</c:v>
                </c:pt>
                <c:pt idx="16">
                  <c:v>108.22</c:v>
                </c:pt>
                <c:pt idx="17">
                  <c:v>7.04</c:v>
                </c:pt>
                <c:pt idx="18">
                  <c:v>16.68</c:v>
                </c:pt>
                <c:pt idx="19">
                  <c:v>17.850000000000001</c:v>
                </c:pt>
                <c:pt idx="20">
                  <c:v>12.96</c:v>
                </c:pt>
                <c:pt idx="21">
                  <c:v>21.51</c:v>
                </c:pt>
                <c:pt idx="22">
                  <c:v>55.6</c:v>
                </c:pt>
                <c:pt idx="23">
                  <c:v>36.119999999999997</c:v>
                </c:pt>
                <c:pt idx="24">
                  <c:v>3.88</c:v>
                </c:pt>
                <c:pt idx="25">
                  <c:v>21.42</c:v>
                </c:pt>
                <c:pt idx="26">
                  <c:v>23.58</c:v>
                </c:pt>
                <c:pt idx="27">
                  <c:v>21</c:v>
                </c:pt>
                <c:pt idx="28">
                  <c:v>15.58</c:v>
                </c:pt>
                <c:pt idx="29">
                  <c:v>68.64</c:v>
                </c:pt>
                <c:pt idx="30">
                  <c:v>19.440000000000001</c:v>
                </c:pt>
                <c:pt idx="31">
                  <c:v>59.36</c:v>
                </c:pt>
                <c:pt idx="32">
                  <c:v>31.12</c:v>
                </c:pt>
                <c:pt idx="33">
                  <c:v>12.98</c:v>
                </c:pt>
                <c:pt idx="34">
                  <c:v>9.49</c:v>
                </c:pt>
                <c:pt idx="35">
                  <c:v>12.66</c:v>
                </c:pt>
                <c:pt idx="36">
                  <c:v>26.39</c:v>
                </c:pt>
                <c:pt idx="37">
                  <c:v>14</c:v>
                </c:pt>
                <c:pt idx="38">
                  <c:v>30.59</c:v>
                </c:pt>
                <c:pt idx="39">
                  <c:v>23.8</c:v>
                </c:pt>
                <c:pt idx="40">
                  <c:v>54.53</c:v>
                </c:pt>
                <c:pt idx="41">
                  <c:v>34.68</c:v>
                </c:pt>
                <c:pt idx="42">
                  <c:v>48.48</c:v>
                </c:pt>
                <c:pt idx="43">
                  <c:v>14.58</c:v>
                </c:pt>
                <c:pt idx="44">
                  <c:v>25.08</c:v>
                </c:pt>
                <c:pt idx="45">
                  <c:v>63.24</c:v>
                </c:pt>
                <c:pt idx="46">
                  <c:v>41.65</c:v>
                </c:pt>
                <c:pt idx="47">
                  <c:v>5.94</c:v>
                </c:pt>
                <c:pt idx="48">
                  <c:v>18.3</c:v>
                </c:pt>
                <c:pt idx="49">
                  <c:v>30.2</c:v>
                </c:pt>
                <c:pt idx="50">
                  <c:v>17.760000000000002</c:v>
                </c:pt>
                <c:pt idx="51">
                  <c:v>16.84</c:v>
                </c:pt>
                <c:pt idx="52">
                  <c:v>72.52</c:v>
                </c:pt>
                <c:pt idx="53">
                  <c:v>52.1</c:v>
                </c:pt>
                <c:pt idx="54">
                  <c:v>34.9</c:v>
                </c:pt>
                <c:pt idx="55">
                  <c:v>23.79</c:v>
                </c:pt>
                <c:pt idx="56">
                  <c:v>14.54</c:v>
                </c:pt>
                <c:pt idx="57">
                  <c:v>20.76</c:v>
                </c:pt>
                <c:pt idx="58">
                  <c:v>31.5</c:v>
                </c:pt>
                <c:pt idx="59">
                  <c:v>140.35</c:v>
                </c:pt>
                <c:pt idx="60">
                  <c:v>24.15</c:v>
                </c:pt>
                <c:pt idx="61">
                  <c:v>18.600000000000001</c:v>
                </c:pt>
                <c:pt idx="62">
                  <c:v>30.4</c:v>
                </c:pt>
                <c:pt idx="63">
                  <c:v>13.8</c:v>
                </c:pt>
                <c:pt idx="64">
                  <c:v>17.34</c:v>
                </c:pt>
                <c:pt idx="65">
                  <c:v>124.95</c:v>
                </c:pt>
                <c:pt idx="66">
                  <c:v>22.23</c:v>
                </c:pt>
                <c:pt idx="67">
                  <c:v>107.38</c:v>
                </c:pt>
                <c:pt idx="68">
                  <c:v>31.28</c:v>
                </c:pt>
                <c:pt idx="69">
                  <c:v>8.8800000000000008</c:v>
                </c:pt>
                <c:pt idx="70">
                  <c:v>38.340000000000003</c:v>
                </c:pt>
                <c:pt idx="71">
                  <c:v>46.13</c:v>
                </c:pt>
                <c:pt idx="72">
                  <c:v>33.11</c:v>
                </c:pt>
                <c:pt idx="73">
                  <c:v>79</c:v>
                </c:pt>
                <c:pt idx="74">
                  <c:v>34.79</c:v>
                </c:pt>
                <c:pt idx="75">
                  <c:v>35.36</c:v>
                </c:pt>
                <c:pt idx="76">
                  <c:v>80.7</c:v>
                </c:pt>
                <c:pt idx="77">
                  <c:v>10.35</c:v>
                </c:pt>
                <c:pt idx="78">
                  <c:v>46.48</c:v>
                </c:pt>
                <c:pt idx="79">
                  <c:v>29.56</c:v>
                </c:pt>
                <c:pt idx="80">
                  <c:v>15.03</c:v>
                </c:pt>
                <c:pt idx="81">
                  <c:v>8.6199999999999992</c:v>
                </c:pt>
                <c:pt idx="82">
                  <c:v>119.28</c:v>
                </c:pt>
                <c:pt idx="83">
                  <c:v>132.86000000000001</c:v>
                </c:pt>
                <c:pt idx="84">
                  <c:v>62.72</c:v>
                </c:pt>
                <c:pt idx="85">
                  <c:v>31.6</c:v>
                </c:pt>
                <c:pt idx="86">
                  <c:v>39.36</c:v>
                </c:pt>
                <c:pt idx="87">
                  <c:v>33.53</c:v>
                </c:pt>
                <c:pt idx="88">
                  <c:v>53.82</c:v>
                </c:pt>
                <c:pt idx="89">
                  <c:v>72.94</c:v>
                </c:pt>
                <c:pt idx="90">
                  <c:v>10.57</c:v>
                </c:pt>
                <c:pt idx="91">
                  <c:v>65.64</c:v>
                </c:pt>
                <c:pt idx="92">
                  <c:v>39.200000000000003</c:v>
                </c:pt>
              </c:numCache>
            </c:numRef>
          </c:val>
          <c:smooth val="0"/>
          <c:extLst>
            <c:ext xmlns:c16="http://schemas.microsoft.com/office/drawing/2014/chart" uri="{C3380CC4-5D6E-409C-BE32-E72D297353CC}">
              <c16:uniqueId val="{00000000-02B3-594E-B69C-32DEE75E9F9E}"/>
            </c:ext>
          </c:extLst>
        </c:ser>
        <c:dLbls>
          <c:showLegendKey val="0"/>
          <c:showVal val="0"/>
          <c:showCatName val="0"/>
          <c:showSerName val="0"/>
          <c:showPercent val="0"/>
          <c:showBubbleSize val="0"/>
        </c:dLbls>
        <c:smooth val="0"/>
        <c:axId val="267061232"/>
        <c:axId val="482753136"/>
      </c:lineChart>
      <c:catAx>
        <c:axId val="26706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53136"/>
        <c:crosses val="autoZero"/>
        <c:auto val="1"/>
        <c:lblAlgn val="ctr"/>
        <c:lblOffset val="100"/>
        <c:noMultiLvlLbl val="0"/>
      </c:catAx>
      <c:valAx>
        <c:axId val="482753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6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Sales by Region</a:t>
            </a:r>
          </a:p>
        </c:rich>
      </c:tx>
      <c:overlay val="0"/>
      <c:spPr>
        <a:noFill/>
        <a:ln w="0">
          <a:noFill/>
        </a:ln>
      </c:spPr>
    </c:title>
    <c:autoTitleDeleted val="0"/>
    <c:plotArea>
      <c:layout/>
      <c:barChart>
        <c:barDir val="col"/>
        <c:grouping val="clustered"/>
        <c:varyColors val="0"/>
        <c:ser>
          <c:idx val="0"/>
          <c:order val="0"/>
          <c:tx>
            <c:strRef>
              <c:f>'Region-Wise Report'!$B$4</c:f>
              <c:strCache>
                <c:ptCount val="1"/>
                <c:pt idx="0">
                  <c:v>Total Sales ($)</c:v>
                </c:pt>
              </c:strCache>
            </c:strRef>
          </c:tx>
          <c:spPr>
            <a:solidFill>
              <a:srgbClr val="00704A"/>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'Region-Wise Report'!$A$5:$A$9</c:f>
              <c:strCache>
                <c:ptCount val="5"/>
                <c:pt idx="0">
                  <c:v>Central</c:v>
                </c:pt>
                <c:pt idx="1">
                  <c:v>East</c:v>
                </c:pt>
                <c:pt idx="2">
                  <c:v>North</c:v>
                </c:pt>
                <c:pt idx="3">
                  <c:v>South</c:v>
                </c:pt>
                <c:pt idx="4">
                  <c:v>West</c:v>
                </c:pt>
              </c:strCache>
            </c:strRef>
          </c:cat>
          <c:val>
            <c:numRef>
              <c:f>'Region-Wise Report'!$B$5:$B$9</c:f>
              <c:numCache>
                <c:formatCode>#,##0.00</c:formatCode>
                <c:ptCount val="5"/>
                <c:pt idx="0">
                  <c:v>1994.22</c:v>
                </c:pt>
                <c:pt idx="1">
                  <c:v>2559.02</c:v>
                </c:pt>
                <c:pt idx="2">
                  <c:v>2378.7199999999998</c:v>
                </c:pt>
                <c:pt idx="3">
                  <c:v>1797.49</c:v>
                </c:pt>
                <c:pt idx="4">
                  <c:v>2129.92</c:v>
                </c:pt>
              </c:numCache>
            </c:numRef>
          </c:val>
          <c:extLst>
            <c:ext xmlns:c16="http://schemas.microsoft.com/office/drawing/2014/chart" uri="{C3380CC4-5D6E-409C-BE32-E72D297353CC}">
              <c16:uniqueId val="{00000000-A7F8-5B49-B6EC-2345952DB53D}"/>
            </c:ext>
          </c:extLst>
        </c:ser>
        <c:dLbls>
          <c:showLegendKey val="0"/>
          <c:showVal val="0"/>
          <c:showCatName val="0"/>
          <c:showSerName val="0"/>
          <c:showPercent val="0"/>
          <c:showBubbleSize val="0"/>
        </c:dLbls>
        <c:gapWidth val="150"/>
        <c:axId val="71117642"/>
        <c:axId val="81207505"/>
      </c:barChart>
      <c:catAx>
        <c:axId val="71117642"/>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Region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207505"/>
        <c:crosses val="autoZero"/>
        <c:auto val="1"/>
        <c:lblAlgn val="ctr"/>
        <c:lblOffset val="100"/>
        <c:noMultiLvlLbl val="0"/>
      </c:catAx>
      <c:valAx>
        <c:axId val="8120750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Sales (USD)</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11764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Monthly Sales Trend</a:t>
            </a:r>
          </a:p>
        </c:rich>
      </c:tx>
      <c:overlay val="0"/>
      <c:spPr>
        <a:noFill/>
        <a:ln w="0">
          <a:noFill/>
        </a:ln>
      </c:spPr>
    </c:title>
    <c:autoTitleDeleted val="0"/>
    <c:plotArea>
      <c:layout/>
      <c:lineChart>
        <c:grouping val="standard"/>
        <c:varyColors val="0"/>
        <c:ser>
          <c:idx val="0"/>
          <c:order val="0"/>
          <c:tx>
            <c:strRef>
              <c:f>'Date-Wise Report'!$D$4</c:f>
              <c:strCache>
                <c:ptCount val="1"/>
                <c:pt idx="0">
                  <c:v>Total Sales ($)</c:v>
                </c:pt>
              </c:strCache>
            </c:strRef>
          </c:tx>
          <c:spPr>
            <a:ln w="24840">
              <a:solidFill>
                <a:srgbClr val="00704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'Date-Wise Report'!$C$5:$C$22</c:f>
              <c:strCache>
                <c:ptCount val="18"/>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strCache>
            </c:strRef>
          </c:cat>
          <c:val>
            <c:numRef>
              <c:f>'Date-Wise Report'!$D$5:$D$22</c:f>
              <c:numCache>
                <c:formatCode>#,##0.00</c:formatCode>
                <c:ptCount val="18"/>
                <c:pt idx="0">
                  <c:v>701.87</c:v>
                </c:pt>
                <c:pt idx="1">
                  <c:v>449.52</c:v>
                </c:pt>
                <c:pt idx="2">
                  <c:v>502.63</c:v>
                </c:pt>
                <c:pt idx="3">
                  <c:v>522.25</c:v>
                </c:pt>
                <c:pt idx="4">
                  <c:v>714.04</c:v>
                </c:pt>
                <c:pt idx="5">
                  <c:v>761.21</c:v>
                </c:pt>
                <c:pt idx="6">
                  <c:v>471.69</c:v>
                </c:pt>
                <c:pt idx="7">
                  <c:v>838.77</c:v>
                </c:pt>
                <c:pt idx="8">
                  <c:v>599.4</c:v>
                </c:pt>
                <c:pt idx="9">
                  <c:v>617.58000000000004</c:v>
                </c:pt>
                <c:pt idx="10">
                  <c:v>626.97</c:v>
                </c:pt>
                <c:pt idx="11">
                  <c:v>576.07000000000005</c:v>
                </c:pt>
                <c:pt idx="12">
                  <c:v>419.3</c:v>
                </c:pt>
                <c:pt idx="13">
                  <c:v>588.44000000000005</c:v>
                </c:pt>
                <c:pt idx="14">
                  <c:v>713.24</c:v>
                </c:pt>
                <c:pt idx="15">
                  <c:v>622.09</c:v>
                </c:pt>
                <c:pt idx="16">
                  <c:v>503.9</c:v>
                </c:pt>
                <c:pt idx="17">
                  <c:v>630.4</c:v>
                </c:pt>
              </c:numCache>
            </c:numRef>
          </c:val>
          <c:smooth val="1"/>
          <c:extLst>
            <c:ext xmlns:c16="http://schemas.microsoft.com/office/drawing/2014/chart" uri="{C3380CC4-5D6E-409C-BE32-E72D297353CC}">
              <c16:uniqueId val="{00000000-D179-9244-A249-B3EB1A21D807}"/>
            </c:ext>
          </c:extLst>
        </c:ser>
        <c:dLbls>
          <c:showLegendKey val="0"/>
          <c:showVal val="0"/>
          <c:showCatName val="0"/>
          <c:showSerName val="0"/>
          <c:showPercent val="0"/>
          <c:showBubbleSize val="0"/>
        </c:dLbls>
        <c:hiLowLines>
          <c:spPr>
            <a:ln w="0">
              <a:noFill/>
            </a:ln>
          </c:spPr>
        </c:hiLowLines>
        <c:smooth val="0"/>
        <c:axId val="28130485"/>
        <c:axId val="97808941"/>
      </c:lineChart>
      <c:catAx>
        <c:axId val="28130485"/>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Period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808941"/>
        <c:crosses val="autoZero"/>
        <c:auto val="1"/>
        <c:lblAlgn val="ctr"/>
        <c:lblOffset val="100"/>
        <c:noMultiLvlLbl val="0"/>
      </c:catAx>
      <c:valAx>
        <c:axId val="9780894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Sales (USD)</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813048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299796</xdr:colOff>
      <xdr:row>10</xdr:row>
      <xdr:rowOff>85453</xdr:rowOff>
    </xdr:from>
    <xdr:to>
      <xdr:col>8</xdr:col>
      <xdr:colOff>637715</xdr:colOff>
      <xdr:row>30</xdr:row>
      <xdr:rowOff>9253</xdr:rowOff>
    </xdr:to>
    <xdr:graphicFrame macro="">
      <xdr:nvGraphicFramePr>
        <xdr:cNvPr id="3" name="Chart 2">
          <a:extLst>
            <a:ext uri="{FF2B5EF4-FFF2-40B4-BE49-F238E27FC236}">
              <a16:creationId xmlns:a16="http://schemas.microsoft.com/office/drawing/2014/main" id="{D2054BFD-29C2-D242-8C4E-6A34CE89A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847556</xdr:colOff>
      <xdr:row>10</xdr:row>
      <xdr:rowOff>122269</xdr:rowOff>
    </xdr:from>
    <xdr:to>
      <xdr:col>15</xdr:col>
      <xdr:colOff>643039</xdr:colOff>
      <xdr:row>27</xdr:row>
      <xdr:rowOff>30238</xdr:rowOff>
    </xdr:to>
    <xdr:graphicFrame macro="">
      <xdr:nvGraphicFramePr>
        <xdr:cNvPr id="4" name="Chart 3">
          <a:extLst>
            <a:ext uri="{FF2B5EF4-FFF2-40B4-BE49-F238E27FC236}">
              <a16:creationId xmlns:a16="http://schemas.microsoft.com/office/drawing/2014/main" id="{9D681CC6-D09B-734B-9CF7-74CB21699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290126</xdr:colOff>
      <xdr:row>31</xdr:row>
      <xdr:rowOff>29592</xdr:rowOff>
    </xdr:from>
    <xdr:to>
      <xdr:col>8</xdr:col>
      <xdr:colOff>674860</xdr:colOff>
      <xdr:row>48</xdr:row>
      <xdr:rowOff>129201</xdr:rowOff>
    </xdr:to>
    <xdr:graphicFrame macro="">
      <xdr:nvGraphicFramePr>
        <xdr:cNvPr id="6" name="Chart 5">
          <a:extLst>
            <a:ext uri="{FF2B5EF4-FFF2-40B4-BE49-F238E27FC236}">
              <a16:creationId xmlns:a16="http://schemas.microsoft.com/office/drawing/2014/main" id="{1C7903E3-4A35-244E-BC6A-B33FCBA59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206220</xdr:colOff>
      <xdr:row>37</xdr:row>
      <xdr:rowOff>151949</xdr:rowOff>
    </xdr:from>
    <xdr:to>
      <xdr:col>1</xdr:col>
      <xdr:colOff>876905</xdr:colOff>
      <xdr:row>48</xdr:row>
      <xdr:rowOff>119080</xdr:rowOff>
    </xdr:to>
    <mc:AlternateContent xmlns:mc="http://schemas.openxmlformats.org/markup-compatibility/2006" xmlns:a14="http://schemas.microsoft.com/office/drawing/2010/main">
      <mc:Choice Requires="a14">
        <xdr:graphicFrame macro="">
          <xdr:nvGraphicFramePr>
            <xdr:cNvPr id="7" name="Store Name">
              <a:extLst>
                <a:ext uri="{FF2B5EF4-FFF2-40B4-BE49-F238E27FC236}">
                  <a16:creationId xmlns:a16="http://schemas.microsoft.com/office/drawing/2014/main" id="{7C756B9D-53E7-B344-98EF-A54860A1F155}"/>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206220" y="8584749"/>
              <a:ext cx="1889885" cy="2062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825257</xdr:colOff>
      <xdr:row>27</xdr:row>
      <xdr:rowOff>156294</xdr:rowOff>
    </xdr:from>
    <xdr:to>
      <xdr:col>15</xdr:col>
      <xdr:colOff>691266</xdr:colOff>
      <xdr:row>48</xdr:row>
      <xdr:rowOff>123118</xdr:rowOff>
    </xdr:to>
    <xdr:graphicFrame macro="">
      <xdr:nvGraphicFramePr>
        <xdr:cNvPr id="8" name="Chart 7">
          <a:extLst>
            <a:ext uri="{FF2B5EF4-FFF2-40B4-BE49-F238E27FC236}">
              <a16:creationId xmlns:a16="http://schemas.microsoft.com/office/drawing/2014/main" id="{EB7B8EDE-A0CC-5B47-9C4C-25470980A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215474</xdr:colOff>
      <xdr:row>17</xdr:row>
      <xdr:rowOff>137010</xdr:rowOff>
    </xdr:from>
    <xdr:to>
      <xdr:col>1</xdr:col>
      <xdr:colOff>952501</xdr:colOff>
      <xdr:row>26</xdr:row>
      <xdr:rowOff>119081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6AD753E-F26A-6E4A-923D-A97570DACE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5474" y="4759810"/>
              <a:ext cx="1956227" cy="1696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188869</xdr:colOff>
      <xdr:row>27</xdr:row>
      <xdr:rowOff>137880</xdr:rowOff>
    </xdr:from>
    <xdr:to>
      <xdr:col>1</xdr:col>
      <xdr:colOff>937382</xdr:colOff>
      <xdr:row>36</xdr:row>
      <xdr:rowOff>120945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13471BE6-753E-3848-9413-96C2A07E33D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8869" y="6665680"/>
              <a:ext cx="1967713" cy="1697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208360</xdr:colOff>
      <xdr:row>10</xdr:row>
      <xdr:rowOff>126454</xdr:rowOff>
    </xdr:from>
    <xdr:to>
      <xdr:col>2</xdr:col>
      <xdr:colOff>4729</xdr:colOff>
      <xdr:row>16</xdr:row>
      <xdr:rowOff>174932</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8B262ADC-8254-FE40-BC6A-9D28710B9BA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08360" y="3047454"/>
              <a:ext cx="2006169" cy="1445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30238</xdr:colOff>
      <xdr:row>9</xdr:row>
      <xdr:rowOff>45358</xdr:rowOff>
    </xdr:from>
    <xdr:to>
      <xdr:col>8</xdr:col>
      <xdr:colOff>302381</xdr:colOff>
      <xdr:row>9</xdr:row>
      <xdr:rowOff>75596</xdr:rowOff>
    </xdr:to>
    <xdr:cxnSp macro="">
      <xdr:nvCxnSpPr>
        <xdr:cNvPr id="16" name="Straight Connector 15">
          <a:extLst>
            <a:ext uri="{FF2B5EF4-FFF2-40B4-BE49-F238E27FC236}">
              <a16:creationId xmlns:a16="http://schemas.microsoft.com/office/drawing/2014/main" id="{9D603D36-FF17-DEDA-4B1B-C22EF7A2740F}"/>
            </a:ext>
          </a:extLst>
        </xdr:cNvPr>
        <xdr:cNvCxnSpPr/>
      </xdr:nvCxnSpPr>
      <xdr:spPr>
        <a:xfrm>
          <a:off x="30238" y="2736548"/>
          <a:ext cx="8436429" cy="30238"/>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0</xdr:colOff>
      <xdr:row>9</xdr:row>
      <xdr:rowOff>60477</xdr:rowOff>
    </xdr:from>
    <xdr:to>
      <xdr:col>21</xdr:col>
      <xdr:colOff>559405</xdr:colOff>
      <xdr:row>10</xdr:row>
      <xdr:rowOff>90714</xdr:rowOff>
    </xdr:to>
    <xdr:sp macro="" textlink="">
      <xdr:nvSpPr>
        <xdr:cNvPr id="17" name="Rectangle 16">
          <a:extLst>
            <a:ext uri="{FF2B5EF4-FFF2-40B4-BE49-F238E27FC236}">
              <a16:creationId xmlns:a16="http://schemas.microsoft.com/office/drawing/2014/main" id="{1747627B-F6D0-73B7-943A-9501EC19A116}"/>
            </a:ext>
          </a:extLst>
        </xdr:cNvPr>
        <xdr:cNvSpPr/>
      </xdr:nvSpPr>
      <xdr:spPr>
        <a:xfrm>
          <a:off x="0" y="2751667"/>
          <a:ext cx="21287619" cy="272142"/>
        </a:xfrm>
        <a:prstGeom prst="rect">
          <a:avLst/>
        </a:prstGeom>
        <a:solidFill>
          <a:srgbClr val="7A4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10</xdr:row>
      <xdr:rowOff>45357</xdr:rowOff>
    </xdr:from>
    <xdr:to>
      <xdr:col>0</xdr:col>
      <xdr:colOff>196549</xdr:colOff>
      <xdr:row>49</xdr:row>
      <xdr:rowOff>30239</xdr:rowOff>
    </xdr:to>
    <xdr:sp macro="" textlink="">
      <xdr:nvSpPr>
        <xdr:cNvPr id="18" name="Rectangle 17">
          <a:extLst>
            <a:ext uri="{FF2B5EF4-FFF2-40B4-BE49-F238E27FC236}">
              <a16:creationId xmlns:a16="http://schemas.microsoft.com/office/drawing/2014/main" id="{331258EC-7D9D-4DB2-A94E-2E9D2E9AECE0}"/>
            </a:ext>
          </a:extLst>
        </xdr:cNvPr>
        <xdr:cNvSpPr/>
      </xdr:nvSpPr>
      <xdr:spPr>
        <a:xfrm>
          <a:off x="0" y="2978452"/>
          <a:ext cx="196549" cy="7982858"/>
        </a:xfrm>
        <a:prstGeom prst="rect">
          <a:avLst/>
        </a:prstGeom>
        <a:solidFill>
          <a:srgbClr val="7A4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377977</xdr:colOff>
      <xdr:row>9</xdr:row>
      <xdr:rowOff>60477</xdr:rowOff>
    </xdr:from>
    <xdr:to>
      <xdr:col>21</xdr:col>
      <xdr:colOff>589645</xdr:colOff>
      <xdr:row>49</xdr:row>
      <xdr:rowOff>45358</xdr:rowOff>
    </xdr:to>
    <xdr:sp macro="" textlink="">
      <xdr:nvSpPr>
        <xdr:cNvPr id="19" name="Rectangle 18">
          <a:extLst>
            <a:ext uri="{FF2B5EF4-FFF2-40B4-BE49-F238E27FC236}">
              <a16:creationId xmlns:a16="http://schemas.microsoft.com/office/drawing/2014/main" id="{730AA108-6843-894F-A04B-4A37A1B0B951}"/>
            </a:ext>
          </a:extLst>
        </xdr:cNvPr>
        <xdr:cNvSpPr/>
      </xdr:nvSpPr>
      <xdr:spPr>
        <a:xfrm>
          <a:off x="21106191" y="2751667"/>
          <a:ext cx="211668" cy="8224762"/>
        </a:xfrm>
        <a:prstGeom prst="rect">
          <a:avLst/>
        </a:prstGeom>
        <a:solidFill>
          <a:srgbClr val="7A4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48</xdr:row>
      <xdr:rowOff>105832</xdr:rowOff>
    </xdr:from>
    <xdr:to>
      <xdr:col>21</xdr:col>
      <xdr:colOff>589643</xdr:colOff>
      <xdr:row>49</xdr:row>
      <xdr:rowOff>181428</xdr:rowOff>
    </xdr:to>
    <xdr:sp macro="" textlink="">
      <xdr:nvSpPr>
        <xdr:cNvPr id="20" name="Rectangle 19">
          <a:extLst>
            <a:ext uri="{FF2B5EF4-FFF2-40B4-BE49-F238E27FC236}">
              <a16:creationId xmlns:a16="http://schemas.microsoft.com/office/drawing/2014/main" id="{67D04ECC-5002-9D45-A7E3-65B73BF1AC74}"/>
            </a:ext>
          </a:extLst>
        </xdr:cNvPr>
        <xdr:cNvSpPr/>
      </xdr:nvSpPr>
      <xdr:spPr>
        <a:xfrm>
          <a:off x="0" y="10840356"/>
          <a:ext cx="21317857" cy="272143"/>
        </a:xfrm>
        <a:prstGeom prst="rect">
          <a:avLst/>
        </a:prstGeom>
        <a:solidFill>
          <a:srgbClr val="7A4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1</xdr:col>
      <xdr:colOff>128608</xdr:colOff>
      <xdr:row>1</xdr:row>
      <xdr:rowOff>233946</xdr:rowOff>
    </xdr:to>
    <xdr:pic>
      <xdr:nvPicPr>
        <xdr:cNvPr id="21" name="Picture 20" descr="The Starbucks Logo: A History">
          <a:extLst>
            <a:ext uri="{FF2B5EF4-FFF2-40B4-BE49-F238E27FC236}">
              <a16:creationId xmlns:a16="http://schemas.microsoft.com/office/drawing/2014/main" id="{F94CB4B6-D3C5-9CAE-5251-E646BC7F8CB9}"/>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8608" r="18528"/>
        <a:stretch>
          <a:fillRect/>
        </a:stretch>
      </xdr:blipFill>
      <xdr:spPr bwMode="auto">
        <a:xfrm>
          <a:off x="0" y="0"/>
          <a:ext cx="1350380" cy="812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1123950</xdr:colOff>
      <xdr:row>291</xdr:row>
      <xdr:rowOff>63500</xdr:rowOff>
    </xdr:from>
    <xdr:to>
      <xdr:col>11</xdr:col>
      <xdr:colOff>558800</xdr:colOff>
      <xdr:row>305</xdr:row>
      <xdr:rowOff>139700</xdr:rowOff>
    </xdr:to>
    <xdr:graphicFrame macro="">
      <xdr:nvGraphicFramePr>
        <xdr:cNvPr id="10" name="Chart 9">
          <a:extLst>
            <a:ext uri="{FF2B5EF4-FFF2-40B4-BE49-F238E27FC236}">
              <a16:creationId xmlns:a16="http://schemas.microsoft.com/office/drawing/2014/main" id="{A1673C1E-0980-9625-8398-C678DACE8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1123950</xdr:colOff>
      <xdr:row>197</xdr:row>
      <xdr:rowOff>63500</xdr:rowOff>
    </xdr:from>
    <xdr:to>
      <xdr:col>13</xdr:col>
      <xdr:colOff>774700</xdr:colOff>
      <xdr:row>211</xdr:row>
      <xdr:rowOff>139700</xdr:rowOff>
    </xdr:to>
    <xdr:graphicFrame macro="">
      <xdr:nvGraphicFramePr>
        <xdr:cNvPr id="11" name="Chart 10">
          <a:extLst>
            <a:ext uri="{FF2B5EF4-FFF2-40B4-BE49-F238E27FC236}">
              <a16:creationId xmlns:a16="http://schemas.microsoft.com/office/drawing/2014/main" id="{DA5861C8-A630-15D5-2534-C93EC03D1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7</xdr:col>
      <xdr:colOff>136080</xdr:colOff>
      <xdr:row>35</xdr:row>
      <xdr:rowOff>128880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9</xdr:col>
      <xdr:colOff>564480</xdr:colOff>
      <xdr:row>48</xdr:row>
      <xdr:rowOff>107640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ulya Singh" refreshedDate="46122.663983217593" createdVersion="8" refreshedVersion="8" minRefreshableVersion="3" recordCount="279" xr:uid="{86CB558D-B2DC-2D4E-B44B-297D3939082C}">
  <cacheSource type="worksheet">
    <worksheetSource ref="A3:I282" sheet="Sales Transactions"/>
  </cacheSource>
  <cacheFields count="9">
    <cacheField name="Transaction ID" numFmtId="0">
      <sharedItems count="279">
        <s v="TXN-1001"/>
        <s v="TXN-1002"/>
        <s v="TXN-1003"/>
        <s v="TXN-1004"/>
        <s v="TXN-1005"/>
        <s v="TXN-1006"/>
        <s v="TXN-1007"/>
        <s v="TXN-1008"/>
        <s v="TXN-1009"/>
        <s v="TXN-1010"/>
        <s v="TXN-1011"/>
        <s v="TXN-1012"/>
        <s v="TXN-1013"/>
        <s v="TXN-1014"/>
        <s v="TXN-1015"/>
        <s v="TXN-1016"/>
        <s v="TXN-1017"/>
        <s v="TXN-1018"/>
        <s v="TXN-1019"/>
        <s v="TXN-1020"/>
        <s v="TXN-1021"/>
        <s v="TXN-1022"/>
        <s v="TXN-1023"/>
        <s v="TXN-1024"/>
        <s v="TXN-1025"/>
        <s v="TXN-1026"/>
        <s v="TXN-1027"/>
        <s v="TXN-1028"/>
        <s v="TXN-1029"/>
        <s v="TXN-1030"/>
        <s v="TXN-1031"/>
        <s v="TXN-1032"/>
        <s v="TXN-1033"/>
        <s v="TXN-1034"/>
        <s v="TXN-1035"/>
        <s v="TXN-1036"/>
        <s v="TXN-1037"/>
        <s v="TXN-1038"/>
        <s v="TXN-1039"/>
        <s v="TXN-1040"/>
        <s v="TXN-1041"/>
        <s v="TXN-1042"/>
        <s v="TXN-1043"/>
        <s v="TXN-1044"/>
        <s v="TXN-1045"/>
        <s v="TXN-1046"/>
        <s v="TXN-1047"/>
        <s v="TXN-1048"/>
        <s v="TXN-1049"/>
        <s v="TXN-1050"/>
        <s v="TXN-1051"/>
        <s v="TXN-1052"/>
        <s v="TXN-1053"/>
        <s v="TXN-1054"/>
        <s v="TXN-1055"/>
        <s v="TXN-1056"/>
        <s v="TXN-1057"/>
        <s v="TXN-1058"/>
        <s v="TXN-1059"/>
        <s v="TXN-1060"/>
        <s v="TXN-1061"/>
        <s v="TXN-1062"/>
        <s v="TXN-1063"/>
        <s v="TXN-1064"/>
        <s v="TXN-1065"/>
        <s v="TXN-1066"/>
        <s v="TXN-1067"/>
        <s v="TXN-1068"/>
        <s v="TXN-1069"/>
        <s v="TXN-1070"/>
        <s v="TXN-1071"/>
        <s v="TXN-1072"/>
        <s v="TXN-1073"/>
        <s v="TXN-1074"/>
        <s v="TXN-1075"/>
        <s v="TXN-1076"/>
        <s v="TXN-1077"/>
        <s v="TXN-1078"/>
        <s v="TXN-1079"/>
        <s v="TXN-1080"/>
        <s v="TXN-1081"/>
        <s v="TXN-1082"/>
        <s v="TXN-1083"/>
        <s v="TXN-1084"/>
        <s v="TXN-1085"/>
        <s v="TXN-1086"/>
        <s v="TXN-1087"/>
        <s v="TXN-1088"/>
        <s v="TXN-1089"/>
        <s v="TXN-1090"/>
        <s v="TXN-1091"/>
        <s v="TXN-1092"/>
        <s v="TXN-1093"/>
        <s v="TXN-1094"/>
        <s v="TXN-1095"/>
        <s v="TXN-1096"/>
        <s v="TXN-1097"/>
        <s v="TXN-1098"/>
        <s v="TXN-1099"/>
        <s v="TXN-1100"/>
        <s v="TXN-1101"/>
        <s v="TXN-1102"/>
        <s v="TXN-1103"/>
        <s v="TXN-1104"/>
        <s v="TXN-1105"/>
        <s v="TXN-1106"/>
        <s v="TXN-1107"/>
        <s v="TXN-1108"/>
        <s v="TXN-1109"/>
        <s v="TXN-1110"/>
        <s v="TXN-1111"/>
        <s v="TXN-1112"/>
        <s v="TXN-1113"/>
        <s v="TXN-1114"/>
        <s v="TXN-1115"/>
        <s v="TXN-1116"/>
        <s v="TXN-1117"/>
        <s v="TXN-1118"/>
        <s v="TXN-1119"/>
        <s v="TXN-1120"/>
        <s v="TXN-1121"/>
        <s v="TXN-1122"/>
        <s v="TXN-1123"/>
        <s v="TXN-1124"/>
        <s v="TXN-1125"/>
        <s v="TXN-1126"/>
        <s v="TXN-1127"/>
        <s v="TXN-1128"/>
        <s v="TXN-1129"/>
        <s v="TXN-1130"/>
        <s v="TXN-1131"/>
        <s v="TXN-1132"/>
        <s v="TXN-1133"/>
        <s v="TXN-1134"/>
        <s v="TXN-1135"/>
        <s v="TXN-1136"/>
        <s v="TXN-1137"/>
        <s v="TXN-1138"/>
        <s v="TXN-1139"/>
        <s v="TXN-1140"/>
        <s v="TXN-1141"/>
        <s v="TXN-1142"/>
        <s v="TXN-1143"/>
        <s v="TXN-1144"/>
        <s v="TXN-1145"/>
        <s v="TXN-1146"/>
        <s v="TXN-1147"/>
        <s v="TXN-1148"/>
        <s v="TXN-1149"/>
        <s v="TXN-1150"/>
        <s v="TXN-1151"/>
        <s v="TXN-1152"/>
        <s v="TXN-1153"/>
        <s v="TXN-1154"/>
        <s v="TXN-1155"/>
        <s v="TXN-1156"/>
        <s v="TXN-1157"/>
        <s v="TXN-1158"/>
        <s v="TXN-1159"/>
        <s v="TXN-1160"/>
        <s v="TXN-1161"/>
        <s v="TXN-1162"/>
        <s v="TXN-1163"/>
        <s v="TXN-1164"/>
        <s v="TXN-1165"/>
        <s v="TXN-1166"/>
        <s v="TXN-1167"/>
        <s v="TXN-1168"/>
        <s v="TXN-1169"/>
        <s v="TXN-1170"/>
        <s v="TXN-1171"/>
        <s v="TXN-1172"/>
        <s v="TXN-1173"/>
        <s v="TXN-1174"/>
        <s v="TXN-1175"/>
        <s v="TXN-1176"/>
        <s v="TXN-1177"/>
        <s v="TXN-1178"/>
        <s v="TXN-1179"/>
        <s v="TXN-1180"/>
        <s v="TXN-1181"/>
        <s v="TXN-1182"/>
        <s v="TXN-1183"/>
        <s v="TXN-1184"/>
        <s v="TXN-1185"/>
        <s v="TXN-1186"/>
        <s v="TXN-1187"/>
        <s v="TXN-1188"/>
        <s v="TXN-1189"/>
        <s v="TXN-1190"/>
        <s v="TXN-1191"/>
        <s v="TXN-1192"/>
        <s v="TXN-1193"/>
        <s v="TXN-1194"/>
        <s v="TXN-1195"/>
        <s v="TXN-1196"/>
        <s v="TXN-1197"/>
        <s v="TXN-1198"/>
        <s v="TXN-1199"/>
        <s v="TXN-1200"/>
        <s v="TXN-1201"/>
        <s v="TXN-1202"/>
        <s v="TXN-1203"/>
        <s v="TXN-1204"/>
        <s v="TXN-1205"/>
        <s v="TXN-1206"/>
        <s v="TXN-1207"/>
        <s v="TXN-1208"/>
        <s v="TXN-1209"/>
        <s v="TXN-1210"/>
        <s v="TXN-1211"/>
        <s v="TXN-1212"/>
        <s v="TXN-1213"/>
        <s v="TXN-1214"/>
        <s v="TXN-1215"/>
        <s v="TXN-1216"/>
        <s v="TXN-1217"/>
        <s v="TXN-1218"/>
        <s v="TXN-1219"/>
        <s v="TXN-1220"/>
        <s v="TXN-1221"/>
        <s v="TXN-1222"/>
        <s v="TXN-1223"/>
        <s v="TXN-1224"/>
        <s v="TXN-1225"/>
        <s v="TXN-1226"/>
        <s v="TXN-1227"/>
        <s v="TXN-1228"/>
        <s v="TXN-1229"/>
        <s v="TXN-1230"/>
        <s v="TXN-1231"/>
        <s v="TXN-1232"/>
        <s v="TXN-1233"/>
        <s v="TXN-1234"/>
        <s v="TXN-1235"/>
        <s v="TXN-1236"/>
        <s v="TXN-1237"/>
        <s v="TXN-1238"/>
        <s v="TXN-1239"/>
        <s v="TXN-1240"/>
        <s v="TXN-1241"/>
        <s v="TXN-1242"/>
        <s v="TXN-1243"/>
        <s v="TXN-1244"/>
        <s v="TXN-1245"/>
        <s v="TXN-1246"/>
        <s v="TXN-1247"/>
        <s v="TXN-1248"/>
        <s v="TXN-1249"/>
        <s v="TXN-1250"/>
        <s v="TXN-1251"/>
        <s v="TXN-1252"/>
        <s v="TXN-1253"/>
        <s v="TXN-1254"/>
        <s v="TXN-1255"/>
        <s v="TXN-1256"/>
        <s v="TXN-1257"/>
        <s v="TXN-1258"/>
        <s v="TXN-1259"/>
        <s v="TXN-1260"/>
        <s v="TXN-1261"/>
        <s v="TXN-1262"/>
        <s v="TXN-1263"/>
        <s v="TXN-1264"/>
        <s v="TXN-1265"/>
        <s v="TXN-1266"/>
        <s v="TXN-1267"/>
        <s v="TXN-1268"/>
        <s v="TXN-1269"/>
        <s v="TXN-1270"/>
        <s v="TXN-1271"/>
        <s v="TXN-1272"/>
        <s v="TXN-1273"/>
        <s v="TXN-1274"/>
        <s v="TXN-1275"/>
        <s v="TXN-1276"/>
        <s v="TXN-1277"/>
        <s v="TXN-1278"/>
        <s v="TXN-1279"/>
      </sharedItems>
    </cacheField>
    <cacheField name="Date" numFmtId="0">
      <sharedItems count="279">
        <s v="2024-01-01"/>
        <s v="2024-01-03"/>
        <s v="2024-01-05"/>
        <s v="2024-01-07"/>
        <s v="2024-01-09"/>
        <s v="2024-01-11"/>
        <s v="2024-01-13"/>
        <s v="2024-01-15"/>
        <s v="2024-01-17"/>
        <s v="2024-01-19"/>
        <s v="2024-01-21"/>
        <s v="2024-01-23"/>
        <s v="2024-01-25"/>
        <s v="2024-01-27"/>
        <s v="2024-01-29"/>
        <s v="2024-01-31"/>
        <s v="2024-02-01"/>
        <s v="2024-02-03"/>
        <s v="2024-02-05"/>
        <s v="2024-02-07"/>
        <s v="2024-02-09"/>
        <s v="2024-02-11"/>
        <s v="2024-02-13"/>
        <s v="2024-02-15"/>
        <s v="2024-02-17"/>
        <s v="2024-02-19"/>
        <s v="2024-02-21"/>
        <s v="2024-02-23"/>
        <s v="2024-02-25"/>
        <s v="2024-02-27"/>
        <s v="2024-02-29"/>
        <s v="2024-03-01"/>
        <s v="2024-03-03"/>
        <s v="2024-03-05"/>
        <s v="2024-03-07"/>
        <s v="2024-03-09"/>
        <s v="2024-03-11"/>
        <s v="2024-03-13"/>
        <s v="2024-03-15"/>
        <s v="2024-03-17"/>
        <s v="2024-03-19"/>
        <s v="2024-03-21"/>
        <s v="2024-03-23"/>
        <s v="2024-03-25"/>
        <s v="2024-03-27"/>
        <s v="2024-03-29"/>
        <s v="2024-03-31"/>
        <s v="2024-04-01"/>
        <s v="2024-04-03"/>
        <s v="2024-04-05"/>
        <s v="2024-04-07"/>
        <s v="2024-04-09"/>
        <s v="2024-04-11"/>
        <s v="2024-04-13"/>
        <s v="2024-04-15"/>
        <s v="2024-04-17"/>
        <s v="2024-04-19"/>
        <s v="2024-04-21"/>
        <s v="2024-04-23"/>
        <s v="2024-04-25"/>
        <s v="2024-04-27"/>
        <s v="2024-04-29"/>
        <s v="2024-05-01"/>
        <s v="2024-05-03"/>
        <s v="2024-05-05"/>
        <s v="2024-05-07"/>
        <s v="2024-05-09"/>
        <s v="2024-05-11"/>
        <s v="2024-05-13"/>
        <s v="2024-05-15"/>
        <s v="2024-05-17"/>
        <s v="2024-05-19"/>
        <s v="2024-05-21"/>
        <s v="2024-05-23"/>
        <s v="2024-05-25"/>
        <s v="2024-05-27"/>
        <s v="2024-05-29"/>
        <s v="2024-05-31"/>
        <s v="2024-06-01"/>
        <s v="2024-06-03"/>
        <s v="2024-06-05"/>
        <s v="2024-06-07"/>
        <s v="2024-06-09"/>
        <s v="2024-06-11"/>
        <s v="2024-06-13"/>
        <s v="2024-06-15"/>
        <s v="2024-06-17"/>
        <s v="2024-06-19"/>
        <s v="2024-06-21"/>
        <s v="2024-06-23"/>
        <s v="2024-06-25"/>
        <s v="2024-06-27"/>
        <s v="2024-06-29"/>
        <s v="2024-07-01"/>
        <s v="2024-07-03"/>
        <s v="2024-07-05"/>
        <s v="2024-07-07"/>
        <s v="2024-07-09"/>
        <s v="2024-07-11"/>
        <s v="2024-07-13"/>
        <s v="2024-07-15"/>
        <s v="2024-07-17"/>
        <s v="2024-07-19"/>
        <s v="2024-07-21"/>
        <s v="2024-07-23"/>
        <s v="2024-07-25"/>
        <s v="2024-07-27"/>
        <s v="2024-07-29"/>
        <s v="2024-07-31"/>
        <s v="2024-08-01"/>
        <s v="2024-08-03"/>
        <s v="2024-08-05"/>
        <s v="2024-08-07"/>
        <s v="2024-08-09"/>
        <s v="2024-08-11"/>
        <s v="2024-08-13"/>
        <s v="2024-08-15"/>
        <s v="2024-08-17"/>
        <s v="2024-08-19"/>
        <s v="2024-08-21"/>
        <s v="2024-08-23"/>
        <s v="2024-08-25"/>
        <s v="2024-08-27"/>
        <s v="2024-08-29"/>
        <s v="2024-08-31"/>
        <s v="2024-09-01"/>
        <s v="2024-09-03"/>
        <s v="2024-09-05"/>
        <s v="2024-09-07"/>
        <s v="2024-09-09"/>
        <s v="2024-09-11"/>
        <s v="2024-09-13"/>
        <s v="2024-09-15"/>
        <s v="2024-09-17"/>
        <s v="2024-09-19"/>
        <s v="2024-09-21"/>
        <s v="2024-09-23"/>
        <s v="2024-09-25"/>
        <s v="2024-09-27"/>
        <s v="2024-09-29"/>
        <s v="2024-10-01"/>
        <s v="2024-10-03"/>
        <s v="2024-10-05"/>
        <s v="2024-10-07"/>
        <s v="2024-10-09"/>
        <s v="2024-10-11"/>
        <s v="2024-10-13"/>
        <s v="2024-10-15"/>
        <s v="2024-10-17"/>
        <s v="2024-10-19"/>
        <s v="2024-10-21"/>
        <s v="2024-10-23"/>
        <s v="2024-10-25"/>
        <s v="2024-10-27"/>
        <s v="2024-10-29"/>
        <s v="2024-10-31"/>
        <s v="2024-11-01"/>
        <s v="2024-11-03"/>
        <s v="2024-11-05"/>
        <s v="2024-11-07"/>
        <s v="2024-11-09"/>
        <s v="2024-11-11"/>
        <s v="2024-11-13"/>
        <s v="2024-11-15"/>
        <s v="2024-11-17"/>
        <s v="2024-11-19"/>
        <s v="2024-11-21"/>
        <s v="2024-11-23"/>
        <s v="2024-11-25"/>
        <s v="2024-11-27"/>
        <s v="2024-11-29"/>
        <s v="2024-12-01"/>
        <s v="2024-12-03"/>
        <s v="2024-12-05"/>
        <s v="2024-12-07"/>
        <s v="2024-12-09"/>
        <s v="2024-12-11"/>
        <s v="2024-12-13"/>
        <s v="2024-12-15"/>
        <s v="2024-12-17"/>
        <s v="2024-12-19"/>
        <s v="2024-12-21"/>
        <s v="2024-12-23"/>
        <s v="2024-12-25"/>
        <s v="2024-12-27"/>
        <s v="2024-12-29"/>
        <s v="2024-12-31"/>
        <s v="2025-01-01"/>
        <s v="2025-01-03"/>
        <s v="2025-01-05"/>
        <s v="2025-01-07"/>
        <s v="2025-01-09"/>
        <s v="2025-01-11"/>
        <s v="2025-01-13"/>
        <s v="2025-01-15"/>
        <s v="2025-01-17"/>
        <s v="2025-01-19"/>
        <s v="2025-01-21"/>
        <s v="2025-01-23"/>
        <s v="2025-01-25"/>
        <s v="2025-01-27"/>
        <s v="2025-01-29"/>
        <s v="2025-01-31"/>
        <s v="2025-02-01"/>
        <s v="2025-02-03"/>
        <s v="2025-02-05"/>
        <s v="2025-02-07"/>
        <s v="2025-02-09"/>
        <s v="2025-02-11"/>
        <s v="2025-02-13"/>
        <s v="2025-02-15"/>
        <s v="2025-02-17"/>
        <s v="2025-02-19"/>
        <s v="2025-02-21"/>
        <s v="2025-02-23"/>
        <s v="2025-02-25"/>
        <s v="2025-02-27"/>
        <s v="2025-03-01"/>
        <s v="2025-03-03"/>
        <s v="2025-03-05"/>
        <s v="2025-03-07"/>
        <s v="2025-03-09"/>
        <s v="2025-03-11"/>
        <s v="2025-03-13"/>
        <s v="2025-03-15"/>
        <s v="2025-03-17"/>
        <s v="2025-03-19"/>
        <s v="2025-03-21"/>
        <s v="2025-03-23"/>
        <s v="2025-03-25"/>
        <s v="2025-03-27"/>
        <s v="2025-03-29"/>
        <s v="2025-03-31"/>
        <s v="2025-04-01"/>
        <s v="2025-04-03"/>
        <s v="2025-04-05"/>
        <s v="2025-04-07"/>
        <s v="2025-04-09"/>
        <s v="2025-04-11"/>
        <s v="2025-04-13"/>
        <s v="2025-04-15"/>
        <s v="2025-04-17"/>
        <s v="2025-04-19"/>
        <s v="2025-04-21"/>
        <s v="2025-04-23"/>
        <s v="2025-04-25"/>
        <s v="2025-04-27"/>
        <s v="2025-04-29"/>
        <s v="2025-05-01"/>
        <s v="2025-05-03"/>
        <s v="2025-05-05"/>
        <s v="2025-05-07"/>
        <s v="2025-05-09"/>
        <s v="2025-05-11"/>
        <s v="2025-05-13"/>
        <s v="2025-05-15"/>
        <s v="2025-05-17"/>
        <s v="2025-05-19"/>
        <s v="2025-05-21"/>
        <s v="2025-05-23"/>
        <s v="2025-05-25"/>
        <s v="2025-05-27"/>
        <s v="2025-05-29"/>
        <s v="2025-05-31"/>
        <s v="2025-06-01"/>
        <s v="2025-06-03"/>
        <s v="2025-06-05"/>
        <s v="2025-06-07"/>
        <s v="2025-06-09"/>
        <s v="2025-06-11"/>
        <s v="2025-06-13"/>
        <s v="2025-06-15"/>
        <s v="2025-06-17"/>
        <s v="2025-06-19"/>
        <s v="2025-06-21"/>
        <s v="2025-06-23"/>
        <s v="2025-06-25"/>
        <s v="2025-06-27"/>
        <s v="2025-06-29"/>
      </sharedItems>
    </cacheField>
    <cacheField name="Region" numFmtId="0">
      <sharedItems count="5">
        <s v="North"/>
        <s v="Central"/>
        <s v="South"/>
        <s v="East"/>
        <s v="West"/>
      </sharedItems>
    </cacheField>
    <cacheField name="Store Name" numFmtId="0">
      <sharedItems count="15">
        <s v="Seattle Downtown"/>
        <s v="Chicago Loop"/>
        <s v="Miami Beach"/>
        <s v="Houston TX"/>
        <s v="Atlanta Peach"/>
        <s v="NYC Times Sq"/>
        <s v="Dallas TX"/>
        <s v="Vancouver Mall"/>
        <s v="Portland Hub"/>
        <s v="Denver CO"/>
        <s v="Philadelphia City"/>
        <s v="LA Sunset"/>
        <s v="Boston Common"/>
        <s v="Phoenix AZ"/>
        <s v="San Diego Bay"/>
      </sharedItems>
    </cacheField>
    <cacheField name="Category" numFmtId="0">
      <sharedItems count="5">
        <s v="Frappuccino"/>
        <s v="Merchandise"/>
        <s v="Food"/>
        <s v="Coffee"/>
        <s v="Tea"/>
      </sharedItems>
    </cacheField>
    <cacheField name="Qty Sold" numFmtId="3">
      <sharedItems containsSemiMixedTypes="0" containsString="0" containsNumber="1" containsInteger="1" minValue="1" maxValue="8"/>
    </cacheField>
    <cacheField name="Unit Price ($)" numFmtId="4">
      <sharedItems containsSemiMixedTypes="0" containsString="0" containsNumber="1" minValue="3.4" maxValue="20.25"/>
    </cacheField>
    <cacheField name="Total Sales ($)" numFmtId="4">
      <sharedItems containsSemiMixedTypes="0" containsString="0" containsNumber="1" minValue="3.88" maxValue="151.91999999999999"/>
    </cacheField>
    <cacheField name="Payment Method" numFmtId="0">
      <sharedItems count="4">
        <s v="Credit Card"/>
        <s v="Gift Card"/>
        <s v="Cash"/>
        <s v="Mobile Pay"/>
      </sharedItems>
    </cacheField>
  </cacheFields>
  <extLst>
    <ext xmlns:x14="http://schemas.microsoft.com/office/spreadsheetml/2009/9/main" uri="{725AE2AE-9491-48be-B2B4-4EB974FC3084}">
      <x14:pivotCacheDefinition pivotCacheId="15457064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
  <r>
    <x v="0"/>
    <x v="0"/>
    <x v="0"/>
    <x v="0"/>
    <x v="0"/>
    <n v="4"/>
    <n v="6.25"/>
    <n v="25"/>
    <x v="0"/>
  </r>
  <r>
    <x v="1"/>
    <x v="1"/>
    <x v="1"/>
    <x v="1"/>
    <x v="1"/>
    <n v="7"/>
    <n v="12.99"/>
    <n v="90.93"/>
    <x v="0"/>
  </r>
  <r>
    <x v="2"/>
    <x v="2"/>
    <x v="2"/>
    <x v="2"/>
    <x v="1"/>
    <n v="1"/>
    <n v="16.96"/>
    <n v="16.96"/>
    <x v="1"/>
  </r>
  <r>
    <x v="3"/>
    <x v="3"/>
    <x v="2"/>
    <x v="3"/>
    <x v="1"/>
    <n v="5"/>
    <n v="18.82"/>
    <n v="94.1"/>
    <x v="0"/>
  </r>
  <r>
    <x v="4"/>
    <x v="4"/>
    <x v="2"/>
    <x v="4"/>
    <x v="2"/>
    <n v="6"/>
    <n v="7.91"/>
    <n v="47.46"/>
    <x v="2"/>
  </r>
  <r>
    <x v="5"/>
    <x v="5"/>
    <x v="3"/>
    <x v="5"/>
    <x v="3"/>
    <n v="7"/>
    <n v="4.9400000000000004"/>
    <n v="34.58"/>
    <x v="3"/>
  </r>
  <r>
    <x v="6"/>
    <x v="6"/>
    <x v="1"/>
    <x v="6"/>
    <x v="3"/>
    <n v="8"/>
    <n v="6.15"/>
    <n v="49.2"/>
    <x v="1"/>
  </r>
  <r>
    <x v="7"/>
    <x v="7"/>
    <x v="0"/>
    <x v="7"/>
    <x v="0"/>
    <n v="6"/>
    <n v="7.4"/>
    <n v="44.4"/>
    <x v="0"/>
  </r>
  <r>
    <x v="8"/>
    <x v="8"/>
    <x v="0"/>
    <x v="7"/>
    <x v="4"/>
    <n v="5"/>
    <n v="5.37"/>
    <n v="26.85"/>
    <x v="2"/>
  </r>
  <r>
    <x v="9"/>
    <x v="9"/>
    <x v="0"/>
    <x v="8"/>
    <x v="0"/>
    <n v="8"/>
    <n v="7.59"/>
    <n v="60.72"/>
    <x v="3"/>
  </r>
  <r>
    <x v="10"/>
    <x v="10"/>
    <x v="2"/>
    <x v="3"/>
    <x v="0"/>
    <n v="4"/>
    <n v="7.7"/>
    <n v="30.8"/>
    <x v="0"/>
  </r>
  <r>
    <x v="11"/>
    <x v="11"/>
    <x v="1"/>
    <x v="9"/>
    <x v="4"/>
    <n v="4"/>
    <n v="3.73"/>
    <n v="14.92"/>
    <x v="1"/>
  </r>
  <r>
    <x v="12"/>
    <x v="12"/>
    <x v="3"/>
    <x v="10"/>
    <x v="1"/>
    <n v="4"/>
    <n v="17.88"/>
    <n v="71.52"/>
    <x v="0"/>
  </r>
  <r>
    <x v="13"/>
    <x v="13"/>
    <x v="2"/>
    <x v="2"/>
    <x v="0"/>
    <n v="7"/>
    <n v="6.4"/>
    <n v="44.8"/>
    <x v="2"/>
  </r>
  <r>
    <x v="14"/>
    <x v="14"/>
    <x v="1"/>
    <x v="9"/>
    <x v="0"/>
    <n v="4"/>
    <n v="7.66"/>
    <n v="30.64"/>
    <x v="1"/>
  </r>
  <r>
    <x v="15"/>
    <x v="15"/>
    <x v="4"/>
    <x v="11"/>
    <x v="0"/>
    <n v="3"/>
    <n v="6.33"/>
    <n v="18.989999999999998"/>
    <x v="3"/>
  </r>
  <r>
    <x v="16"/>
    <x v="16"/>
    <x v="1"/>
    <x v="6"/>
    <x v="1"/>
    <n v="7"/>
    <n v="15.46"/>
    <n v="108.22"/>
    <x v="2"/>
  </r>
  <r>
    <x v="17"/>
    <x v="17"/>
    <x v="1"/>
    <x v="6"/>
    <x v="3"/>
    <n v="1"/>
    <n v="7.04"/>
    <n v="7.04"/>
    <x v="2"/>
  </r>
  <r>
    <x v="18"/>
    <x v="18"/>
    <x v="2"/>
    <x v="4"/>
    <x v="2"/>
    <n v="2"/>
    <n v="8.34"/>
    <n v="16.68"/>
    <x v="1"/>
  </r>
  <r>
    <x v="19"/>
    <x v="19"/>
    <x v="1"/>
    <x v="6"/>
    <x v="1"/>
    <n v="1"/>
    <n v="17.850000000000001"/>
    <n v="17.850000000000001"/>
    <x v="0"/>
  </r>
  <r>
    <x v="20"/>
    <x v="20"/>
    <x v="1"/>
    <x v="6"/>
    <x v="0"/>
    <n v="2"/>
    <n v="6.48"/>
    <n v="12.96"/>
    <x v="2"/>
  </r>
  <r>
    <x v="21"/>
    <x v="21"/>
    <x v="4"/>
    <x v="11"/>
    <x v="0"/>
    <n v="3"/>
    <n v="7.17"/>
    <n v="21.51"/>
    <x v="0"/>
  </r>
  <r>
    <x v="22"/>
    <x v="22"/>
    <x v="3"/>
    <x v="10"/>
    <x v="1"/>
    <n v="4"/>
    <n v="13.9"/>
    <n v="55.6"/>
    <x v="2"/>
  </r>
  <r>
    <x v="23"/>
    <x v="23"/>
    <x v="1"/>
    <x v="9"/>
    <x v="3"/>
    <n v="6"/>
    <n v="6.02"/>
    <n v="36.119999999999997"/>
    <x v="0"/>
  </r>
  <r>
    <x v="24"/>
    <x v="24"/>
    <x v="3"/>
    <x v="12"/>
    <x v="4"/>
    <n v="1"/>
    <n v="3.88"/>
    <n v="3.88"/>
    <x v="0"/>
  </r>
  <r>
    <x v="25"/>
    <x v="25"/>
    <x v="0"/>
    <x v="7"/>
    <x v="2"/>
    <n v="2"/>
    <n v="10.71"/>
    <n v="21.42"/>
    <x v="2"/>
  </r>
  <r>
    <x v="26"/>
    <x v="26"/>
    <x v="2"/>
    <x v="4"/>
    <x v="2"/>
    <n v="3"/>
    <n v="7.86"/>
    <n v="23.58"/>
    <x v="1"/>
  </r>
  <r>
    <x v="27"/>
    <x v="27"/>
    <x v="2"/>
    <x v="4"/>
    <x v="4"/>
    <n v="5"/>
    <n v="4.2"/>
    <n v="21"/>
    <x v="3"/>
  </r>
  <r>
    <x v="28"/>
    <x v="28"/>
    <x v="4"/>
    <x v="13"/>
    <x v="2"/>
    <n v="2"/>
    <n v="7.79"/>
    <n v="15.58"/>
    <x v="0"/>
  </r>
  <r>
    <x v="29"/>
    <x v="29"/>
    <x v="3"/>
    <x v="5"/>
    <x v="1"/>
    <n v="4"/>
    <n v="17.16"/>
    <n v="68.64"/>
    <x v="0"/>
  </r>
  <r>
    <x v="30"/>
    <x v="30"/>
    <x v="0"/>
    <x v="7"/>
    <x v="3"/>
    <n v="4"/>
    <n v="4.8600000000000003"/>
    <n v="19.440000000000001"/>
    <x v="0"/>
  </r>
  <r>
    <x v="31"/>
    <x v="31"/>
    <x v="3"/>
    <x v="5"/>
    <x v="1"/>
    <n v="4"/>
    <n v="14.84"/>
    <n v="59.36"/>
    <x v="1"/>
  </r>
  <r>
    <x v="32"/>
    <x v="32"/>
    <x v="2"/>
    <x v="4"/>
    <x v="4"/>
    <n v="8"/>
    <n v="3.89"/>
    <n v="31.12"/>
    <x v="1"/>
  </r>
  <r>
    <x v="33"/>
    <x v="33"/>
    <x v="4"/>
    <x v="11"/>
    <x v="3"/>
    <n v="2"/>
    <n v="6.49"/>
    <n v="12.98"/>
    <x v="3"/>
  </r>
  <r>
    <x v="34"/>
    <x v="34"/>
    <x v="4"/>
    <x v="14"/>
    <x v="2"/>
    <n v="1"/>
    <n v="9.49"/>
    <n v="9.49"/>
    <x v="0"/>
  </r>
  <r>
    <x v="35"/>
    <x v="35"/>
    <x v="0"/>
    <x v="8"/>
    <x v="0"/>
    <n v="2"/>
    <n v="6.33"/>
    <n v="12.66"/>
    <x v="2"/>
  </r>
  <r>
    <x v="36"/>
    <x v="36"/>
    <x v="1"/>
    <x v="6"/>
    <x v="4"/>
    <n v="7"/>
    <n v="3.77"/>
    <n v="26.39"/>
    <x v="1"/>
  </r>
  <r>
    <x v="37"/>
    <x v="37"/>
    <x v="2"/>
    <x v="2"/>
    <x v="2"/>
    <n v="2"/>
    <n v="7"/>
    <n v="14"/>
    <x v="0"/>
  </r>
  <r>
    <x v="38"/>
    <x v="38"/>
    <x v="0"/>
    <x v="0"/>
    <x v="4"/>
    <n v="7"/>
    <n v="4.37"/>
    <n v="30.59"/>
    <x v="2"/>
  </r>
  <r>
    <x v="39"/>
    <x v="39"/>
    <x v="4"/>
    <x v="11"/>
    <x v="4"/>
    <n v="7"/>
    <n v="3.4"/>
    <n v="23.8"/>
    <x v="1"/>
  </r>
  <r>
    <x v="40"/>
    <x v="40"/>
    <x v="3"/>
    <x v="12"/>
    <x v="0"/>
    <n v="7"/>
    <n v="7.79"/>
    <n v="54.53"/>
    <x v="1"/>
  </r>
  <r>
    <x v="41"/>
    <x v="41"/>
    <x v="2"/>
    <x v="2"/>
    <x v="0"/>
    <n v="4"/>
    <n v="8.67"/>
    <n v="34.68"/>
    <x v="0"/>
  </r>
  <r>
    <x v="42"/>
    <x v="42"/>
    <x v="3"/>
    <x v="5"/>
    <x v="3"/>
    <n v="8"/>
    <n v="6.06"/>
    <n v="48.48"/>
    <x v="2"/>
  </r>
  <r>
    <x v="43"/>
    <x v="43"/>
    <x v="0"/>
    <x v="7"/>
    <x v="3"/>
    <n v="3"/>
    <n v="4.8600000000000003"/>
    <n v="14.58"/>
    <x v="0"/>
  </r>
  <r>
    <x v="44"/>
    <x v="44"/>
    <x v="2"/>
    <x v="3"/>
    <x v="3"/>
    <n v="4"/>
    <n v="6.27"/>
    <n v="25.08"/>
    <x v="0"/>
  </r>
  <r>
    <x v="45"/>
    <x v="45"/>
    <x v="1"/>
    <x v="1"/>
    <x v="2"/>
    <n v="6"/>
    <n v="10.54"/>
    <n v="63.24"/>
    <x v="2"/>
  </r>
  <r>
    <x v="46"/>
    <x v="46"/>
    <x v="3"/>
    <x v="5"/>
    <x v="0"/>
    <n v="7"/>
    <n v="5.95"/>
    <n v="41.65"/>
    <x v="3"/>
  </r>
  <r>
    <x v="47"/>
    <x v="47"/>
    <x v="4"/>
    <x v="14"/>
    <x v="3"/>
    <n v="1"/>
    <n v="5.94"/>
    <n v="5.94"/>
    <x v="0"/>
  </r>
  <r>
    <x v="48"/>
    <x v="48"/>
    <x v="0"/>
    <x v="7"/>
    <x v="4"/>
    <n v="5"/>
    <n v="3.66"/>
    <n v="18.3"/>
    <x v="3"/>
  </r>
  <r>
    <x v="49"/>
    <x v="49"/>
    <x v="0"/>
    <x v="0"/>
    <x v="0"/>
    <n v="5"/>
    <n v="6.04"/>
    <n v="30.2"/>
    <x v="3"/>
  </r>
  <r>
    <x v="50"/>
    <x v="50"/>
    <x v="1"/>
    <x v="9"/>
    <x v="1"/>
    <n v="1"/>
    <n v="17.760000000000002"/>
    <n v="17.760000000000002"/>
    <x v="3"/>
  </r>
  <r>
    <x v="51"/>
    <x v="51"/>
    <x v="0"/>
    <x v="0"/>
    <x v="0"/>
    <n v="2"/>
    <n v="8.42"/>
    <n v="16.84"/>
    <x v="2"/>
  </r>
  <r>
    <x v="52"/>
    <x v="52"/>
    <x v="3"/>
    <x v="12"/>
    <x v="1"/>
    <n v="4"/>
    <n v="18.13"/>
    <n v="72.52"/>
    <x v="2"/>
  </r>
  <r>
    <x v="53"/>
    <x v="53"/>
    <x v="3"/>
    <x v="10"/>
    <x v="2"/>
    <n v="5"/>
    <n v="10.42"/>
    <n v="52.1"/>
    <x v="0"/>
  </r>
  <r>
    <x v="54"/>
    <x v="54"/>
    <x v="0"/>
    <x v="7"/>
    <x v="2"/>
    <n v="5"/>
    <n v="6.98"/>
    <n v="34.9"/>
    <x v="3"/>
  </r>
  <r>
    <x v="55"/>
    <x v="55"/>
    <x v="2"/>
    <x v="4"/>
    <x v="0"/>
    <n v="3"/>
    <n v="7.93"/>
    <n v="23.79"/>
    <x v="1"/>
  </r>
  <r>
    <x v="56"/>
    <x v="56"/>
    <x v="1"/>
    <x v="1"/>
    <x v="3"/>
    <n v="2"/>
    <n v="7.27"/>
    <n v="14.54"/>
    <x v="2"/>
  </r>
  <r>
    <x v="57"/>
    <x v="57"/>
    <x v="1"/>
    <x v="1"/>
    <x v="0"/>
    <n v="3"/>
    <n v="6.92"/>
    <n v="20.76"/>
    <x v="0"/>
  </r>
  <r>
    <x v="58"/>
    <x v="58"/>
    <x v="3"/>
    <x v="12"/>
    <x v="3"/>
    <n v="6"/>
    <n v="5.25"/>
    <n v="31.5"/>
    <x v="2"/>
  </r>
  <r>
    <x v="59"/>
    <x v="59"/>
    <x v="0"/>
    <x v="8"/>
    <x v="1"/>
    <n v="7"/>
    <n v="20.05"/>
    <n v="140.35"/>
    <x v="2"/>
  </r>
  <r>
    <x v="60"/>
    <x v="60"/>
    <x v="2"/>
    <x v="2"/>
    <x v="4"/>
    <n v="7"/>
    <n v="3.45"/>
    <n v="24.15"/>
    <x v="3"/>
  </r>
  <r>
    <x v="61"/>
    <x v="61"/>
    <x v="4"/>
    <x v="13"/>
    <x v="4"/>
    <n v="5"/>
    <n v="3.72"/>
    <n v="18.600000000000001"/>
    <x v="0"/>
  </r>
  <r>
    <x v="62"/>
    <x v="62"/>
    <x v="4"/>
    <x v="11"/>
    <x v="2"/>
    <n v="4"/>
    <n v="7.6"/>
    <n v="30.4"/>
    <x v="1"/>
  </r>
  <r>
    <x v="63"/>
    <x v="63"/>
    <x v="3"/>
    <x v="12"/>
    <x v="4"/>
    <n v="4"/>
    <n v="3.45"/>
    <n v="13.8"/>
    <x v="2"/>
  </r>
  <r>
    <x v="64"/>
    <x v="64"/>
    <x v="4"/>
    <x v="14"/>
    <x v="0"/>
    <n v="2"/>
    <n v="8.67"/>
    <n v="17.34"/>
    <x v="3"/>
  </r>
  <r>
    <x v="65"/>
    <x v="65"/>
    <x v="3"/>
    <x v="10"/>
    <x v="1"/>
    <n v="7"/>
    <n v="17.850000000000001"/>
    <n v="124.95"/>
    <x v="3"/>
  </r>
  <r>
    <x v="66"/>
    <x v="66"/>
    <x v="0"/>
    <x v="0"/>
    <x v="0"/>
    <n v="3"/>
    <n v="7.41"/>
    <n v="22.23"/>
    <x v="3"/>
  </r>
  <r>
    <x v="67"/>
    <x v="67"/>
    <x v="0"/>
    <x v="0"/>
    <x v="1"/>
    <n v="7"/>
    <n v="15.34"/>
    <n v="107.38"/>
    <x v="3"/>
  </r>
  <r>
    <x v="68"/>
    <x v="68"/>
    <x v="4"/>
    <x v="13"/>
    <x v="1"/>
    <n v="2"/>
    <n v="15.64"/>
    <n v="31.28"/>
    <x v="2"/>
  </r>
  <r>
    <x v="69"/>
    <x v="69"/>
    <x v="3"/>
    <x v="5"/>
    <x v="2"/>
    <n v="1"/>
    <n v="8.8800000000000008"/>
    <n v="8.8800000000000008"/>
    <x v="2"/>
  </r>
  <r>
    <x v="70"/>
    <x v="70"/>
    <x v="3"/>
    <x v="12"/>
    <x v="3"/>
    <n v="6"/>
    <n v="6.39"/>
    <n v="38.340000000000003"/>
    <x v="0"/>
  </r>
  <r>
    <x v="71"/>
    <x v="71"/>
    <x v="3"/>
    <x v="10"/>
    <x v="0"/>
    <n v="7"/>
    <n v="6.59"/>
    <n v="46.13"/>
    <x v="3"/>
  </r>
  <r>
    <x v="72"/>
    <x v="72"/>
    <x v="1"/>
    <x v="1"/>
    <x v="4"/>
    <n v="7"/>
    <n v="4.7300000000000004"/>
    <n v="33.11"/>
    <x v="1"/>
  </r>
  <r>
    <x v="73"/>
    <x v="73"/>
    <x v="2"/>
    <x v="4"/>
    <x v="1"/>
    <n v="5"/>
    <n v="15.8"/>
    <n v="79"/>
    <x v="0"/>
  </r>
  <r>
    <x v="74"/>
    <x v="74"/>
    <x v="3"/>
    <x v="12"/>
    <x v="4"/>
    <n v="7"/>
    <n v="4.97"/>
    <n v="34.79"/>
    <x v="3"/>
  </r>
  <r>
    <x v="75"/>
    <x v="75"/>
    <x v="4"/>
    <x v="14"/>
    <x v="2"/>
    <n v="4"/>
    <n v="8.84"/>
    <n v="35.36"/>
    <x v="2"/>
  </r>
  <r>
    <x v="76"/>
    <x v="76"/>
    <x v="0"/>
    <x v="8"/>
    <x v="1"/>
    <n v="6"/>
    <n v="13.45"/>
    <n v="80.7"/>
    <x v="2"/>
  </r>
  <r>
    <x v="77"/>
    <x v="77"/>
    <x v="3"/>
    <x v="5"/>
    <x v="4"/>
    <n v="3"/>
    <n v="3.45"/>
    <n v="10.35"/>
    <x v="2"/>
  </r>
  <r>
    <x v="78"/>
    <x v="78"/>
    <x v="4"/>
    <x v="13"/>
    <x v="3"/>
    <n v="8"/>
    <n v="5.81"/>
    <n v="46.48"/>
    <x v="2"/>
  </r>
  <r>
    <x v="79"/>
    <x v="79"/>
    <x v="4"/>
    <x v="14"/>
    <x v="2"/>
    <n v="4"/>
    <n v="7.39"/>
    <n v="29.56"/>
    <x v="0"/>
  </r>
  <r>
    <x v="80"/>
    <x v="80"/>
    <x v="0"/>
    <x v="8"/>
    <x v="4"/>
    <n v="3"/>
    <n v="5.01"/>
    <n v="15.03"/>
    <x v="1"/>
  </r>
  <r>
    <x v="81"/>
    <x v="81"/>
    <x v="0"/>
    <x v="7"/>
    <x v="4"/>
    <n v="2"/>
    <n v="4.3099999999999996"/>
    <n v="8.6199999999999992"/>
    <x v="1"/>
  </r>
  <r>
    <x v="82"/>
    <x v="82"/>
    <x v="1"/>
    <x v="9"/>
    <x v="1"/>
    <n v="6"/>
    <n v="19.88"/>
    <n v="119.28"/>
    <x v="1"/>
  </r>
  <r>
    <x v="83"/>
    <x v="83"/>
    <x v="1"/>
    <x v="9"/>
    <x v="1"/>
    <n v="7"/>
    <n v="18.98"/>
    <n v="132.86000000000001"/>
    <x v="1"/>
  </r>
  <r>
    <x v="84"/>
    <x v="84"/>
    <x v="2"/>
    <x v="4"/>
    <x v="2"/>
    <n v="8"/>
    <n v="7.84"/>
    <n v="62.72"/>
    <x v="2"/>
  </r>
  <r>
    <x v="85"/>
    <x v="85"/>
    <x v="3"/>
    <x v="10"/>
    <x v="2"/>
    <n v="4"/>
    <n v="7.9"/>
    <n v="31.6"/>
    <x v="0"/>
  </r>
  <r>
    <x v="86"/>
    <x v="86"/>
    <x v="3"/>
    <x v="5"/>
    <x v="0"/>
    <n v="6"/>
    <n v="6.56"/>
    <n v="39.36"/>
    <x v="0"/>
  </r>
  <r>
    <x v="87"/>
    <x v="87"/>
    <x v="2"/>
    <x v="2"/>
    <x v="4"/>
    <n v="7"/>
    <n v="4.79"/>
    <n v="33.53"/>
    <x v="2"/>
  </r>
  <r>
    <x v="88"/>
    <x v="88"/>
    <x v="0"/>
    <x v="8"/>
    <x v="2"/>
    <n v="6"/>
    <n v="8.9700000000000006"/>
    <n v="53.82"/>
    <x v="1"/>
  </r>
  <r>
    <x v="89"/>
    <x v="89"/>
    <x v="0"/>
    <x v="0"/>
    <x v="2"/>
    <n v="7"/>
    <n v="10.42"/>
    <n v="72.94"/>
    <x v="0"/>
  </r>
  <r>
    <x v="90"/>
    <x v="90"/>
    <x v="1"/>
    <x v="6"/>
    <x v="2"/>
    <n v="1"/>
    <n v="10.57"/>
    <n v="10.57"/>
    <x v="3"/>
  </r>
  <r>
    <x v="91"/>
    <x v="91"/>
    <x v="4"/>
    <x v="14"/>
    <x v="1"/>
    <n v="4"/>
    <n v="16.41"/>
    <n v="65.64"/>
    <x v="3"/>
  </r>
  <r>
    <x v="92"/>
    <x v="92"/>
    <x v="4"/>
    <x v="14"/>
    <x v="3"/>
    <n v="7"/>
    <n v="5.6"/>
    <n v="39.200000000000003"/>
    <x v="1"/>
  </r>
  <r>
    <x v="93"/>
    <x v="93"/>
    <x v="2"/>
    <x v="3"/>
    <x v="4"/>
    <n v="1"/>
    <n v="5.21"/>
    <n v="5.21"/>
    <x v="0"/>
  </r>
  <r>
    <x v="94"/>
    <x v="94"/>
    <x v="0"/>
    <x v="7"/>
    <x v="2"/>
    <n v="3"/>
    <n v="10.27"/>
    <n v="30.81"/>
    <x v="2"/>
  </r>
  <r>
    <x v="95"/>
    <x v="95"/>
    <x v="0"/>
    <x v="8"/>
    <x v="2"/>
    <n v="6"/>
    <n v="7.65"/>
    <n v="45.9"/>
    <x v="3"/>
  </r>
  <r>
    <x v="96"/>
    <x v="96"/>
    <x v="3"/>
    <x v="12"/>
    <x v="0"/>
    <n v="7"/>
    <n v="6.34"/>
    <n v="44.38"/>
    <x v="0"/>
  </r>
  <r>
    <x v="97"/>
    <x v="97"/>
    <x v="4"/>
    <x v="11"/>
    <x v="1"/>
    <n v="1"/>
    <n v="20.25"/>
    <n v="20.25"/>
    <x v="3"/>
  </r>
  <r>
    <x v="98"/>
    <x v="98"/>
    <x v="2"/>
    <x v="4"/>
    <x v="3"/>
    <n v="1"/>
    <n v="6.75"/>
    <n v="6.75"/>
    <x v="2"/>
  </r>
  <r>
    <x v="99"/>
    <x v="99"/>
    <x v="2"/>
    <x v="2"/>
    <x v="1"/>
    <n v="3"/>
    <n v="14.54"/>
    <n v="43.62"/>
    <x v="1"/>
  </r>
  <r>
    <x v="100"/>
    <x v="100"/>
    <x v="0"/>
    <x v="7"/>
    <x v="4"/>
    <n v="8"/>
    <n v="4.8"/>
    <n v="38.4"/>
    <x v="3"/>
  </r>
  <r>
    <x v="101"/>
    <x v="101"/>
    <x v="2"/>
    <x v="4"/>
    <x v="1"/>
    <n v="2"/>
    <n v="18.579999999999998"/>
    <n v="37.159999999999997"/>
    <x v="2"/>
  </r>
  <r>
    <x v="102"/>
    <x v="102"/>
    <x v="3"/>
    <x v="5"/>
    <x v="1"/>
    <n v="1"/>
    <n v="19.72"/>
    <n v="19.72"/>
    <x v="1"/>
  </r>
  <r>
    <x v="103"/>
    <x v="103"/>
    <x v="4"/>
    <x v="13"/>
    <x v="4"/>
    <n v="2"/>
    <n v="4.58"/>
    <n v="9.16"/>
    <x v="2"/>
  </r>
  <r>
    <x v="104"/>
    <x v="104"/>
    <x v="0"/>
    <x v="7"/>
    <x v="0"/>
    <n v="2"/>
    <n v="8.11"/>
    <n v="16.22"/>
    <x v="0"/>
  </r>
  <r>
    <x v="105"/>
    <x v="105"/>
    <x v="3"/>
    <x v="10"/>
    <x v="2"/>
    <n v="6"/>
    <n v="7.08"/>
    <n v="42.48"/>
    <x v="3"/>
  </r>
  <r>
    <x v="106"/>
    <x v="106"/>
    <x v="0"/>
    <x v="8"/>
    <x v="2"/>
    <n v="2"/>
    <n v="8.5299999999999994"/>
    <n v="17.059999999999999"/>
    <x v="3"/>
  </r>
  <r>
    <x v="107"/>
    <x v="107"/>
    <x v="4"/>
    <x v="13"/>
    <x v="4"/>
    <n v="7"/>
    <n v="3.75"/>
    <n v="26.25"/>
    <x v="3"/>
  </r>
  <r>
    <x v="108"/>
    <x v="108"/>
    <x v="1"/>
    <x v="9"/>
    <x v="2"/>
    <n v="8"/>
    <n v="8.5399999999999991"/>
    <n v="68.319999999999993"/>
    <x v="3"/>
  </r>
  <r>
    <x v="109"/>
    <x v="109"/>
    <x v="3"/>
    <x v="5"/>
    <x v="3"/>
    <n v="5"/>
    <n v="7.1"/>
    <n v="35.5"/>
    <x v="2"/>
  </r>
  <r>
    <x v="110"/>
    <x v="110"/>
    <x v="4"/>
    <x v="13"/>
    <x v="1"/>
    <n v="7"/>
    <n v="15.27"/>
    <n v="106.89"/>
    <x v="1"/>
  </r>
  <r>
    <x v="111"/>
    <x v="111"/>
    <x v="3"/>
    <x v="5"/>
    <x v="2"/>
    <n v="4"/>
    <n v="8.2200000000000006"/>
    <n v="32.880000000000003"/>
    <x v="3"/>
  </r>
  <r>
    <x v="112"/>
    <x v="112"/>
    <x v="3"/>
    <x v="12"/>
    <x v="1"/>
    <n v="5"/>
    <n v="16.920000000000002"/>
    <n v="84.6"/>
    <x v="2"/>
  </r>
  <r>
    <x v="113"/>
    <x v="113"/>
    <x v="0"/>
    <x v="0"/>
    <x v="2"/>
    <n v="8"/>
    <n v="9.02"/>
    <n v="72.16"/>
    <x v="2"/>
  </r>
  <r>
    <x v="114"/>
    <x v="114"/>
    <x v="4"/>
    <x v="13"/>
    <x v="2"/>
    <n v="8"/>
    <n v="9.9700000000000006"/>
    <n v="79.760000000000005"/>
    <x v="0"/>
  </r>
  <r>
    <x v="115"/>
    <x v="115"/>
    <x v="3"/>
    <x v="5"/>
    <x v="2"/>
    <n v="4"/>
    <n v="8.02"/>
    <n v="32.08"/>
    <x v="3"/>
  </r>
  <r>
    <x v="116"/>
    <x v="116"/>
    <x v="4"/>
    <x v="13"/>
    <x v="1"/>
    <n v="6"/>
    <n v="15.94"/>
    <n v="95.64"/>
    <x v="3"/>
  </r>
  <r>
    <x v="117"/>
    <x v="117"/>
    <x v="3"/>
    <x v="10"/>
    <x v="2"/>
    <n v="5"/>
    <n v="8.0299999999999994"/>
    <n v="40.15"/>
    <x v="2"/>
  </r>
  <r>
    <x v="118"/>
    <x v="118"/>
    <x v="0"/>
    <x v="7"/>
    <x v="4"/>
    <n v="6"/>
    <n v="3.64"/>
    <n v="21.84"/>
    <x v="2"/>
  </r>
  <r>
    <x v="119"/>
    <x v="119"/>
    <x v="2"/>
    <x v="2"/>
    <x v="2"/>
    <n v="5"/>
    <n v="9.6999999999999993"/>
    <n v="48.5"/>
    <x v="3"/>
  </r>
  <r>
    <x v="120"/>
    <x v="120"/>
    <x v="0"/>
    <x v="0"/>
    <x v="0"/>
    <n v="4"/>
    <n v="6.7"/>
    <n v="26.8"/>
    <x v="3"/>
  </r>
  <r>
    <x v="121"/>
    <x v="121"/>
    <x v="0"/>
    <x v="7"/>
    <x v="1"/>
    <n v="3"/>
    <n v="14.81"/>
    <n v="44.43"/>
    <x v="0"/>
  </r>
  <r>
    <x v="122"/>
    <x v="122"/>
    <x v="1"/>
    <x v="6"/>
    <x v="4"/>
    <n v="8"/>
    <n v="3.61"/>
    <n v="28.88"/>
    <x v="0"/>
  </r>
  <r>
    <x v="123"/>
    <x v="123"/>
    <x v="1"/>
    <x v="6"/>
    <x v="2"/>
    <n v="8"/>
    <n v="8.56"/>
    <n v="68.48"/>
    <x v="2"/>
  </r>
  <r>
    <x v="124"/>
    <x v="124"/>
    <x v="0"/>
    <x v="8"/>
    <x v="2"/>
    <n v="2"/>
    <n v="10.09"/>
    <n v="20.18"/>
    <x v="1"/>
  </r>
  <r>
    <x v="125"/>
    <x v="125"/>
    <x v="4"/>
    <x v="11"/>
    <x v="1"/>
    <n v="1"/>
    <n v="13.89"/>
    <n v="13.89"/>
    <x v="3"/>
  </r>
  <r>
    <x v="126"/>
    <x v="126"/>
    <x v="0"/>
    <x v="0"/>
    <x v="3"/>
    <n v="7"/>
    <n v="6.34"/>
    <n v="44.38"/>
    <x v="2"/>
  </r>
  <r>
    <x v="127"/>
    <x v="127"/>
    <x v="1"/>
    <x v="6"/>
    <x v="2"/>
    <n v="8"/>
    <n v="7.99"/>
    <n v="63.92"/>
    <x v="1"/>
  </r>
  <r>
    <x v="128"/>
    <x v="128"/>
    <x v="3"/>
    <x v="10"/>
    <x v="1"/>
    <n v="1"/>
    <n v="17.32"/>
    <n v="17.32"/>
    <x v="0"/>
  </r>
  <r>
    <x v="129"/>
    <x v="129"/>
    <x v="2"/>
    <x v="4"/>
    <x v="4"/>
    <n v="5"/>
    <n v="4.72"/>
    <n v="23.6"/>
    <x v="2"/>
  </r>
  <r>
    <x v="130"/>
    <x v="130"/>
    <x v="2"/>
    <x v="2"/>
    <x v="1"/>
    <n v="2"/>
    <n v="13.92"/>
    <n v="27.84"/>
    <x v="1"/>
  </r>
  <r>
    <x v="131"/>
    <x v="131"/>
    <x v="4"/>
    <x v="13"/>
    <x v="1"/>
    <n v="8"/>
    <n v="14.93"/>
    <n v="119.44"/>
    <x v="2"/>
  </r>
  <r>
    <x v="132"/>
    <x v="132"/>
    <x v="3"/>
    <x v="10"/>
    <x v="0"/>
    <n v="8"/>
    <n v="5.76"/>
    <n v="46.08"/>
    <x v="2"/>
  </r>
  <r>
    <x v="133"/>
    <x v="133"/>
    <x v="3"/>
    <x v="10"/>
    <x v="1"/>
    <n v="4"/>
    <n v="15.94"/>
    <n v="63.76"/>
    <x v="2"/>
  </r>
  <r>
    <x v="134"/>
    <x v="134"/>
    <x v="2"/>
    <x v="3"/>
    <x v="4"/>
    <n v="2"/>
    <n v="3.52"/>
    <n v="7.04"/>
    <x v="3"/>
  </r>
  <r>
    <x v="135"/>
    <x v="135"/>
    <x v="1"/>
    <x v="9"/>
    <x v="1"/>
    <n v="5"/>
    <n v="16.04"/>
    <n v="80.2"/>
    <x v="1"/>
  </r>
  <r>
    <x v="136"/>
    <x v="136"/>
    <x v="3"/>
    <x v="10"/>
    <x v="2"/>
    <n v="5"/>
    <n v="8.8000000000000007"/>
    <n v="44"/>
    <x v="1"/>
  </r>
  <r>
    <x v="137"/>
    <x v="137"/>
    <x v="4"/>
    <x v="11"/>
    <x v="1"/>
    <n v="1"/>
    <n v="19.420000000000002"/>
    <n v="19.420000000000002"/>
    <x v="3"/>
  </r>
  <r>
    <x v="138"/>
    <x v="138"/>
    <x v="1"/>
    <x v="6"/>
    <x v="3"/>
    <n v="2"/>
    <n v="5.3"/>
    <n v="10.6"/>
    <x v="0"/>
  </r>
  <r>
    <x v="139"/>
    <x v="139"/>
    <x v="3"/>
    <x v="10"/>
    <x v="3"/>
    <n v="3"/>
    <n v="5.97"/>
    <n v="17.91"/>
    <x v="1"/>
  </r>
  <r>
    <x v="140"/>
    <x v="140"/>
    <x v="3"/>
    <x v="5"/>
    <x v="1"/>
    <n v="7"/>
    <n v="17.510000000000002"/>
    <n v="122.57"/>
    <x v="1"/>
  </r>
  <r>
    <x v="141"/>
    <x v="141"/>
    <x v="0"/>
    <x v="8"/>
    <x v="0"/>
    <n v="7"/>
    <n v="6.61"/>
    <n v="46.27"/>
    <x v="0"/>
  </r>
  <r>
    <x v="142"/>
    <x v="142"/>
    <x v="2"/>
    <x v="3"/>
    <x v="2"/>
    <n v="8"/>
    <n v="7.95"/>
    <n v="63.6"/>
    <x v="1"/>
  </r>
  <r>
    <x v="143"/>
    <x v="143"/>
    <x v="1"/>
    <x v="1"/>
    <x v="2"/>
    <n v="2"/>
    <n v="8.06"/>
    <n v="16.12"/>
    <x v="3"/>
  </r>
  <r>
    <x v="144"/>
    <x v="144"/>
    <x v="0"/>
    <x v="8"/>
    <x v="1"/>
    <n v="1"/>
    <n v="17.68"/>
    <n v="17.68"/>
    <x v="1"/>
  </r>
  <r>
    <x v="145"/>
    <x v="145"/>
    <x v="4"/>
    <x v="11"/>
    <x v="4"/>
    <n v="6"/>
    <n v="4.6500000000000004"/>
    <n v="27.9"/>
    <x v="1"/>
  </r>
  <r>
    <x v="146"/>
    <x v="146"/>
    <x v="4"/>
    <x v="11"/>
    <x v="4"/>
    <n v="5"/>
    <n v="4.5"/>
    <n v="22.5"/>
    <x v="3"/>
  </r>
  <r>
    <x v="147"/>
    <x v="147"/>
    <x v="4"/>
    <x v="13"/>
    <x v="2"/>
    <n v="2"/>
    <n v="6.92"/>
    <n v="13.84"/>
    <x v="2"/>
  </r>
  <r>
    <x v="148"/>
    <x v="148"/>
    <x v="2"/>
    <x v="3"/>
    <x v="1"/>
    <n v="1"/>
    <n v="16.89"/>
    <n v="16.89"/>
    <x v="0"/>
  </r>
  <r>
    <x v="149"/>
    <x v="149"/>
    <x v="2"/>
    <x v="2"/>
    <x v="2"/>
    <n v="2"/>
    <n v="9.39"/>
    <n v="18.78"/>
    <x v="2"/>
  </r>
  <r>
    <x v="150"/>
    <x v="150"/>
    <x v="4"/>
    <x v="13"/>
    <x v="0"/>
    <n v="5"/>
    <n v="6.88"/>
    <n v="34.4"/>
    <x v="1"/>
  </r>
  <r>
    <x v="151"/>
    <x v="151"/>
    <x v="4"/>
    <x v="11"/>
    <x v="2"/>
    <n v="3"/>
    <n v="8.33"/>
    <n v="24.99"/>
    <x v="2"/>
  </r>
  <r>
    <x v="152"/>
    <x v="152"/>
    <x v="0"/>
    <x v="8"/>
    <x v="2"/>
    <n v="6"/>
    <n v="10.54"/>
    <n v="63.24"/>
    <x v="3"/>
  </r>
  <r>
    <x v="153"/>
    <x v="153"/>
    <x v="0"/>
    <x v="8"/>
    <x v="0"/>
    <n v="8"/>
    <n v="8.34"/>
    <n v="66.72"/>
    <x v="1"/>
  </r>
  <r>
    <x v="154"/>
    <x v="154"/>
    <x v="1"/>
    <x v="6"/>
    <x v="0"/>
    <n v="6"/>
    <n v="7.32"/>
    <n v="43.92"/>
    <x v="1"/>
  </r>
  <r>
    <x v="155"/>
    <x v="155"/>
    <x v="4"/>
    <x v="14"/>
    <x v="4"/>
    <n v="4"/>
    <n v="4.54"/>
    <n v="18.16"/>
    <x v="2"/>
  </r>
  <r>
    <x v="156"/>
    <x v="156"/>
    <x v="4"/>
    <x v="11"/>
    <x v="0"/>
    <n v="8"/>
    <n v="7.82"/>
    <n v="62.56"/>
    <x v="1"/>
  </r>
  <r>
    <x v="157"/>
    <x v="157"/>
    <x v="4"/>
    <x v="13"/>
    <x v="4"/>
    <n v="8"/>
    <n v="5.33"/>
    <n v="42.64"/>
    <x v="2"/>
  </r>
  <r>
    <x v="158"/>
    <x v="158"/>
    <x v="1"/>
    <x v="9"/>
    <x v="0"/>
    <n v="2"/>
    <n v="8.3699999999999992"/>
    <n v="16.739999999999998"/>
    <x v="1"/>
  </r>
  <r>
    <x v="159"/>
    <x v="159"/>
    <x v="0"/>
    <x v="7"/>
    <x v="2"/>
    <n v="1"/>
    <n v="9.69"/>
    <n v="9.69"/>
    <x v="1"/>
  </r>
  <r>
    <x v="160"/>
    <x v="160"/>
    <x v="2"/>
    <x v="2"/>
    <x v="2"/>
    <n v="5"/>
    <n v="8.15"/>
    <n v="40.75"/>
    <x v="1"/>
  </r>
  <r>
    <x v="161"/>
    <x v="161"/>
    <x v="0"/>
    <x v="8"/>
    <x v="1"/>
    <n v="7"/>
    <n v="19.91"/>
    <n v="139.37"/>
    <x v="1"/>
  </r>
  <r>
    <x v="162"/>
    <x v="162"/>
    <x v="1"/>
    <x v="1"/>
    <x v="1"/>
    <n v="2"/>
    <n v="14.51"/>
    <n v="29.02"/>
    <x v="3"/>
  </r>
  <r>
    <x v="163"/>
    <x v="163"/>
    <x v="2"/>
    <x v="4"/>
    <x v="3"/>
    <n v="7"/>
    <n v="7.37"/>
    <n v="51.59"/>
    <x v="0"/>
  </r>
  <r>
    <x v="164"/>
    <x v="164"/>
    <x v="4"/>
    <x v="11"/>
    <x v="0"/>
    <n v="1"/>
    <n v="5.67"/>
    <n v="5.67"/>
    <x v="0"/>
  </r>
  <r>
    <x v="165"/>
    <x v="165"/>
    <x v="3"/>
    <x v="12"/>
    <x v="0"/>
    <n v="7"/>
    <n v="6"/>
    <n v="42"/>
    <x v="1"/>
  </r>
  <r>
    <x v="166"/>
    <x v="166"/>
    <x v="1"/>
    <x v="9"/>
    <x v="4"/>
    <n v="3"/>
    <n v="3.75"/>
    <n v="11.25"/>
    <x v="1"/>
  </r>
  <r>
    <x v="167"/>
    <x v="167"/>
    <x v="1"/>
    <x v="9"/>
    <x v="4"/>
    <n v="8"/>
    <n v="5.23"/>
    <n v="41.84"/>
    <x v="2"/>
  </r>
  <r>
    <x v="168"/>
    <x v="168"/>
    <x v="2"/>
    <x v="3"/>
    <x v="0"/>
    <n v="8"/>
    <n v="6.35"/>
    <n v="50.8"/>
    <x v="0"/>
  </r>
  <r>
    <x v="169"/>
    <x v="169"/>
    <x v="4"/>
    <x v="14"/>
    <x v="1"/>
    <n v="3"/>
    <n v="13.3"/>
    <n v="39.9"/>
    <x v="3"/>
  </r>
  <r>
    <x v="170"/>
    <x v="170"/>
    <x v="1"/>
    <x v="6"/>
    <x v="2"/>
    <n v="5"/>
    <n v="8.6300000000000008"/>
    <n v="43.15"/>
    <x v="3"/>
  </r>
  <r>
    <x v="171"/>
    <x v="171"/>
    <x v="2"/>
    <x v="3"/>
    <x v="2"/>
    <n v="2"/>
    <n v="7.75"/>
    <n v="15.5"/>
    <x v="3"/>
  </r>
  <r>
    <x v="172"/>
    <x v="172"/>
    <x v="1"/>
    <x v="6"/>
    <x v="0"/>
    <n v="1"/>
    <n v="8.6999999999999993"/>
    <n v="8.6999999999999993"/>
    <x v="1"/>
  </r>
  <r>
    <x v="173"/>
    <x v="173"/>
    <x v="3"/>
    <x v="5"/>
    <x v="1"/>
    <n v="1"/>
    <n v="19.579999999999998"/>
    <n v="19.579999999999998"/>
    <x v="1"/>
  </r>
  <r>
    <x v="174"/>
    <x v="174"/>
    <x v="3"/>
    <x v="5"/>
    <x v="1"/>
    <n v="6"/>
    <n v="14.39"/>
    <n v="86.34"/>
    <x v="2"/>
  </r>
  <r>
    <x v="175"/>
    <x v="175"/>
    <x v="1"/>
    <x v="6"/>
    <x v="4"/>
    <n v="2"/>
    <n v="5.21"/>
    <n v="10.42"/>
    <x v="0"/>
  </r>
  <r>
    <x v="176"/>
    <x v="176"/>
    <x v="3"/>
    <x v="12"/>
    <x v="3"/>
    <n v="6"/>
    <n v="6.69"/>
    <n v="40.14"/>
    <x v="0"/>
  </r>
  <r>
    <x v="177"/>
    <x v="177"/>
    <x v="3"/>
    <x v="12"/>
    <x v="2"/>
    <n v="3"/>
    <n v="7.6"/>
    <n v="22.8"/>
    <x v="3"/>
  </r>
  <r>
    <x v="178"/>
    <x v="178"/>
    <x v="1"/>
    <x v="9"/>
    <x v="0"/>
    <n v="3"/>
    <n v="6.36"/>
    <n v="19.079999999999998"/>
    <x v="1"/>
  </r>
  <r>
    <x v="179"/>
    <x v="179"/>
    <x v="3"/>
    <x v="10"/>
    <x v="0"/>
    <n v="2"/>
    <n v="7.05"/>
    <n v="14.1"/>
    <x v="0"/>
  </r>
  <r>
    <x v="180"/>
    <x v="180"/>
    <x v="2"/>
    <x v="2"/>
    <x v="2"/>
    <n v="6"/>
    <n v="7.16"/>
    <n v="42.96"/>
    <x v="1"/>
  </r>
  <r>
    <x v="181"/>
    <x v="181"/>
    <x v="0"/>
    <x v="8"/>
    <x v="1"/>
    <n v="2"/>
    <n v="16.16"/>
    <n v="32.32"/>
    <x v="3"/>
  </r>
  <r>
    <x v="182"/>
    <x v="182"/>
    <x v="1"/>
    <x v="6"/>
    <x v="0"/>
    <n v="2"/>
    <n v="7.72"/>
    <n v="15.44"/>
    <x v="1"/>
  </r>
  <r>
    <x v="183"/>
    <x v="183"/>
    <x v="0"/>
    <x v="7"/>
    <x v="1"/>
    <n v="6"/>
    <n v="19.61"/>
    <n v="117.66"/>
    <x v="2"/>
  </r>
  <r>
    <x v="184"/>
    <x v="184"/>
    <x v="0"/>
    <x v="7"/>
    <x v="2"/>
    <n v="5"/>
    <n v="9.4"/>
    <n v="47"/>
    <x v="0"/>
  </r>
  <r>
    <x v="185"/>
    <x v="185"/>
    <x v="2"/>
    <x v="2"/>
    <x v="3"/>
    <n v="5"/>
    <n v="7.41"/>
    <n v="37.049999999999997"/>
    <x v="0"/>
  </r>
  <r>
    <x v="186"/>
    <x v="186"/>
    <x v="0"/>
    <x v="0"/>
    <x v="1"/>
    <n v="3"/>
    <n v="15.66"/>
    <n v="46.98"/>
    <x v="3"/>
  </r>
  <r>
    <x v="187"/>
    <x v="187"/>
    <x v="1"/>
    <x v="6"/>
    <x v="1"/>
    <n v="3"/>
    <n v="19.39"/>
    <n v="58.17"/>
    <x v="0"/>
  </r>
  <r>
    <x v="188"/>
    <x v="188"/>
    <x v="4"/>
    <x v="13"/>
    <x v="2"/>
    <n v="5"/>
    <n v="6.93"/>
    <n v="34.65"/>
    <x v="3"/>
  </r>
  <r>
    <x v="189"/>
    <x v="189"/>
    <x v="2"/>
    <x v="3"/>
    <x v="2"/>
    <n v="4"/>
    <n v="10.220000000000001"/>
    <n v="40.880000000000003"/>
    <x v="0"/>
  </r>
  <r>
    <x v="190"/>
    <x v="190"/>
    <x v="3"/>
    <x v="10"/>
    <x v="0"/>
    <n v="1"/>
    <n v="6.82"/>
    <n v="6.82"/>
    <x v="2"/>
  </r>
  <r>
    <x v="191"/>
    <x v="191"/>
    <x v="0"/>
    <x v="8"/>
    <x v="3"/>
    <n v="4"/>
    <n v="6.44"/>
    <n v="25.76"/>
    <x v="0"/>
  </r>
  <r>
    <x v="192"/>
    <x v="192"/>
    <x v="0"/>
    <x v="8"/>
    <x v="4"/>
    <n v="3"/>
    <n v="4.97"/>
    <n v="14.91"/>
    <x v="2"/>
  </r>
  <r>
    <x v="193"/>
    <x v="193"/>
    <x v="0"/>
    <x v="7"/>
    <x v="4"/>
    <n v="4"/>
    <n v="5.03"/>
    <n v="20.12"/>
    <x v="2"/>
  </r>
  <r>
    <x v="194"/>
    <x v="194"/>
    <x v="3"/>
    <x v="5"/>
    <x v="1"/>
    <n v="1"/>
    <n v="14.83"/>
    <n v="14.83"/>
    <x v="2"/>
  </r>
  <r>
    <x v="195"/>
    <x v="195"/>
    <x v="2"/>
    <x v="4"/>
    <x v="0"/>
    <n v="3"/>
    <n v="5.88"/>
    <n v="17.64"/>
    <x v="0"/>
  </r>
  <r>
    <x v="196"/>
    <x v="196"/>
    <x v="2"/>
    <x v="2"/>
    <x v="0"/>
    <n v="4"/>
    <n v="7.44"/>
    <n v="29.76"/>
    <x v="0"/>
  </r>
  <r>
    <x v="197"/>
    <x v="197"/>
    <x v="2"/>
    <x v="3"/>
    <x v="3"/>
    <n v="3"/>
    <n v="6.71"/>
    <n v="20.13"/>
    <x v="0"/>
  </r>
  <r>
    <x v="198"/>
    <x v="198"/>
    <x v="0"/>
    <x v="8"/>
    <x v="2"/>
    <n v="6"/>
    <n v="8.85"/>
    <n v="53.1"/>
    <x v="0"/>
  </r>
  <r>
    <x v="199"/>
    <x v="199"/>
    <x v="4"/>
    <x v="13"/>
    <x v="4"/>
    <n v="1"/>
    <n v="4.8499999999999996"/>
    <n v="4.8499999999999996"/>
    <x v="3"/>
  </r>
  <r>
    <x v="200"/>
    <x v="200"/>
    <x v="4"/>
    <x v="13"/>
    <x v="3"/>
    <n v="1"/>
    <n v="7.42"/>
    <n v="7.42"/>
    <x v="1"/>
  </r>
  <r>
    <x v="201"/>
    <x v="201"/>
    <x v="4"/>
    <x v="13"/>
    <x v="3"/>
    <n v="8"/>
    <n v="6.63"/>
    <n v="53.04"/>
    <x v="1"/>
  </r>
  <r>
    <x v="202"/>
    <x v="202"/>
    <x v="0"/>
    <x v="0"/>
    <x v="0"/>
    <n v="3"/>
    <n v="5.74"/>
    <n v="17.22"/>
    <x v="3"/>
  </r>
  <r>
    <x v="203"/>
    <x v="203"/>
    <x v="1"/>
    <x v="9"/>
    <x v="1"/>
    <n v="6"/>
    <n v="15.61"/>
    <n v="93.66"/>
    <x v="3"/>
  </r>
  <r>
    <x v="204"/>
    <x v="204"/>
    <x v="4"/>
    <x v="13"/>
    <x v="1"/>
    <n v="7"/>
    <n v="13.49"/>
    <n v="94.43"/>
    <x v="0"/>
  </r>
  <r>
    <x v="205"/>
    <x v="205"/>
    <x v="1"/>
    <x v="9"/>
    <x v="4"/>
    <n v="7"/>
    <n v="4.3"/>
    <n v="30.1"/>
    <x v="2"/>
  </r>
  <r>
    <x v="206"/>
    <x v="206"/>
    <x v="4"/>
    <x v="14"/>
    <x v="2"/>
    <n v="7"/>
    <n v="8.4600000000000009"/>
    <n v="59.22"/>
    <x v="0"/>
  </r>
  <r>
    <x v="207"/>
    <x v="207"/>
    <x v="3"/>
    <x v="12"/>
    <x v="0"/>
    <n v="5"/>
    <n v="6.74"/>
    <n v="33.700000000000003"/>
    <x v="2"/>
  </r>
  <r>
    <x v="208"/>
    <x v="208"/>
    <x v="4"/>
    <x v="11"/>
    <x v="3"/>
    <n v="2"/>
    <n v="4.93"/>
    <n v="9.86"/>
    <x v="0"/>
  </r>
  <r>
    <x v="209"/>
    <x v="209"/>
    <x v="3"/>
    <x v="5"/>
    <x v="1"/>
    <n v="1"/>
    <n v="17.149999999999999"/>
    <n v="17.149999999999999"/>
    <x v="3"/>
  </r>
  <r>
    <x v="210"/>
    <x v="210"/>
    <x v="0"/>
    <x v="8"/>
    <x v="0"/>
    <n v="7"/>
    <n v="8.35"/>
    <n v="58.45"/>
    <x v="0"/>
  </r>
  <r>
    <x v="211"/>
    <x v="211"/>
    <x v="3"/>
    <x v="10"/>
    <x v="0"/>
    <n v="6"/>
    <n v="5.86"/>
    <n v="35.159999999999997"/>
    <x v="2"/>
  </r>
  <r>
    <x v="212"/>
    <x v="212"/>
    <x v="2"/>
    <x v="4"/>
    <x v="2"/>
    <n v="4"/>
    <n v="10.19"/>
    <n v="40.76"/>
    <x v="3"/>
  </r>
  <r>
    <x v="213"/>
    <x v="213"/>
    <x v="1"/>
    <x v="6"/>
    <x v="3"/>
    <n v="5"/>
    <n v="6.25"/>
    <n v="31.25"/>
    <x v="1"/>
  </r>
  <r>
    <x v="214"/>
    <x v="214"/>
    <x v="1"/>
    <x v="9"/>
    <x v="1"/>
    <n v="1"/>
    <n v="17.32"/>
    <n v="17.32"/>
    <x v="3"/>
  </r>
  <r>
    <x v="215"/>
    <x v="215"/>
    <x v="0"/>
    <x v="0"/>
    <x v="0"/>
    <n v="5"/>
    <n v="8.52"/>
    <n v="42.6"/>
    <x v="3"/>
  </r>
  <r>
    <x v="216"/>
    <x v="216"/>
    <x v="0"/>
    <x v="0"/>
    <x v="4"/>
    <n v="7"/>
    <n v="3.54"/>
    <n v="24.78"/>
    <x v="0"/>
  </r>
  <r>
    <x v="217"/>
    <x v="217"/>
    <x v="0"/>
    <x v="7"/>
    <x v="1"/>
    <n v="4"/>
    <n v="15.57"/>
    <n v="62.28"/>
    <x v="1"/>
  </r>
  <r>
    <x v="218"/>
    <x v="218"/>
    <x v="3"/>
    <x v="5"/>
    <x v="0"/>
    <n v="5"/>
    <n v="7.87"/>
    <n v="39.35"/>
    <x v="0"/>
  </r>
  <r>
    <x v="219"/>
    <x v="219"/>
    <x v="0"/>
    <x v="0"/>
    <x v="4"/>
    <n v="1"/>
    <n v="4.75"/>
    <n v="4.75"/>
    <x v="3"/>
  </r>
  <r>
    <x v="220"/>
    <x v="220"/>
    <x v="4"/>
    <x v="13"/>
    <x v="2"/>
    <n v="8"/>
    <n v="9.23"/>
    <n v="73.84"/>
    <x v="1"/>
  </r>
  <r>
    <x v="221"/>
    <x v="221"/>
    <x v="3"/>
    <x v="5"/>
    <x v="1"/>
    <n v="2"/>
    <n v="15.34"/>
    <n v="30.68"/>
    <x v="0"/>
  </r>
  <r>
    <x v="222"/>
    <x v="222"/>
    <x v="3"/>
    <x v="10"/>
    <x v="1"/>
    <n v="8"/>
    <n v="16.7"/>
    <n v="133.6"/>
    <x v="3"/>
  </r>
  <r>
    <x v="223"/>
    <x v="223"/>
    <x v="0"/>
    <x v="0"/>
    <x v="2"/>
    <n v="1"/>
    <n v="6.83"/>
    <n v="6.83"/>
    <x v="3"/>
  </r>
  <r>
    <x v="224"/>
    <x v="224"/>
    <x v="2"/>
    <x v="2"/>
    <x v="0"/>
    <n v="5"/>
    <n v="6.59"/>
    <n v="32.950000000000003"/>
    <x v="0"/>
  </r>
  <r>
    <x v="225"/>
    <x v="225"/>
    <x v="4"/>
    <x v="13"/>
    <x v="2"/>
    <n v="3"/>
    <n v="7.32"/>
    <n v="21.96"/>
    <x v="2"/>
  </r>
  <r>
    <x v="226"/>
    <x v="226"/>
    <x v="1"/>
    <x v="9"/>
    <x v="0"/>
    <n v="2"/>
    <n v="6.82"/>
    <n v="13.64"/>
    <x v="0"/>
  </r>
  <r>
    <x v="227"/>
    <x v="227"/>
    <x v="4"/>
    <x v="11"/>
    <x v="2"/>
    <n v="2"/>
    <n v="10.25"/>
    <n v="20.5"/>
    <x v="1"/>
  </r>
  <r>
    <x v="228"/>
    <x v="228"/>
    <x v="1"/>
    <x v="6"/>
    <x v="2"/>
    <n v="5"/>
    <n v="7.26"/>
    <n v="36.299999999999997"/>
    <x v="0"/>
  </r>
  <r>
    <x v="229"/>
    <x v="229"/>
    <x v="3"/>
    <x v="5"/>
    <x v="1"/>
    <n v="8"/>
    <n v="18.989999999999998"/>
    <n v="151.91999999999999"/>
    <x v="3"/>
  </r>
  <r>
    <x v="230"/>
    <x v="230"/>
    <x v="0"/>
    <x v="8"/>
    <x v="3"/>
    <n v="4"/>
    <n v="5.87"/>
    <n v="23.48"/>
    <x v="1"/>
  </r>
  <r>
    <x v="231"/>
    <x v="231"/>
    <x v="1"/>
    <x v="1"/>
    <x v="2"/>
    <n v="5"/>
    <n v="9.7799999999999994"/>
    <n v="48.9"/>
    <x v="2"/>
  </r>
  <r>
    <x v="232"/>
    <x v="232"/>
    <x v="3"/>
    <x v="5"/>
    <x v="3"/>
    <n v="2"/>
    <n v="6.13"/>
    <n v="12.26"/>
    <x v="2"/>
  </r>
  <r>
    <x v="233"/>
    <x v="233"/>
    <x v="3"/>
    <x v="12"/>
    <x v="4"/>
    <n v="4"/>
    <n v="3.61"/>
    <n v="14.44"/>
    <x v="3"/>
  </r>
  <r>
    <x v="234"/>
    <x v="234"/>
    <x v="2"/>
    <x v="2"/>
    <x v="1"/>
    <n v="3"/>
    <n v="18.45"/>
    <n v="55.35"/>
    <x v="0"/>
  </r>
  <r>
    <x v="235"/>
    <x v="235"/>
    <x v="2"/>
    <x v="4"/>
    <x v="2"/>
    <n v="8"/>
    <n v="9.82"/>
    <n v="78.56"/>
    <x v="1"/>
  </r>
  <r>
    <x v="236"/>
    <x v="236"/>
    <x v="1"/>
    <x v="9"/>
    <x v="1"/>
    <n v="6"/>
    <n v="19.23"/>
    <n v="115.38"/>
    <x v="3"/>
  </r>
  <r>
    <x v="237"/>
    <x v="237"/>
    <x v="2"/>
    <x v="3"/>
    <x v="3"/>
    <n v="8"/>
    <n v="5.89"/>
    <n v="47.12"/>
    <x v="3"/>
  </r>
  <r>
    <x v="238"/>
    <x v="238"/>
    <x v="3"/>
    <x v="10"/>
    <x v="3"/>
    <n v="6"/>
    <n v="6.07"/>
    <n v="36.42"/>
    <x v="3"/>
  </r>
  <r>
    <x v="239"/>
    <x v="239"/>
    <x v="4"/>
    <x v="14"/>
    <x v="3"/>
    <n v="1"/>
    <n v="5.69"/>
    <n v="5.69"/>
    <x v="3"/>
  </r>
  <r>
    <x v="240"/>
    <x v="240"/>
    <x v="0"/>
    <x v="7"/>
    <x v="3"/>
    <n v="7"/>
    <n v="5.95"/>
    <n v="41.65"/>
    <x v="0"/>
  </r>
  <r>
    <x v="241"/>
    <x v="241"/>
    <x v="4"/>
    <x v="13"/>
    <x v="4"/>
    <n v="6"/>
    <n v="4.6100000000000003"/>
    <n v="27.66"/>
    <x v="2"/>
  </r>
  <r>
    <x v="242"/>
    <x v="242"/>
    <x v="0"/>
    <x v="8"/>
    <x v="3"/>
    <n v="6"/>
    <n v="7.38"/>
    <n v="44.28"/>
    <x v="0"/>
  </r>
  <r>
    <x v="243"/>
    <x v="243"/>
    <x v="1"/>
    <x v="9"/>
    <x v="4"/>
    <n v="1"/>
    <n v="3.9"/>
    <n v="3.9"/>
    <x v="1"/>
  </r>
  <r>
    <x v="244"/>
    <x v="244"/>
    <x v="4"/>
    <x v="13"/>
    <x v="1"/>
    <n v="3"/>
    <n v="15.48"/>
    <n v="46.44"/>
    <x v="3"/>
  </r>
  <r>
    <x v="245"/>
    <x v="245"/>
    <x v="4"/>
    <x v="14"/>
    <x v="0"/>
    <n v="1"/>
    <n v="8.09"/>
    <n v="8.09"/>
    <x v="3"/>
  </r>
  <r>
    <x v="246"/>
    <x v="246"/>
    <x v="0"/>
    <x v="8"/>
    <x v="3"/>
    <n v="7"/>
    <n v="5.46"/>
    <n v="38.22"/>
    <x v="2"/>
  </r>
  <r>
    <x v="247"/>
    <x v="247"/>
    <x v="3"/>
    <x v="5"/>
    <x v="1"/>
    <n v="3"/>
    <n v="19.63"/>
    <n v="58.89"/>
    <x v="3"/>
  </r>
  <r>
    <x v="248"/>
    <x v="248"/>
    <x v="4"/>
    <x v="11"/>
    <x v="1"/>
    <n v="2"/>
    <n v="15.07"/>
    <n v="30.14"/>
    <x v="1"/>
  </r>
  <r>
    <x v="249"/>
    <x v="249"/>
    <x v="3"/>
    <x v="5"/>
    <x v="1"/>
    <n v="2"/>
    <n v="17.600000000000001"/>
    <n v="35.200000000000003"/>
    <x v="1"/>
  </r>
  <r>
    <x v="250"/>
    <x v="250"/>
    <x v="1"/>
    <x v="6"/>
    <x v="3"/>
    <n v="6"/>
    <n v="5.52"/>
    <n v="33.119999999999997"/>
    <x v="2"/>
  </r>
  <r>
    <x v="251"/>
    <x v="251"/>
    <x v="3"/>
    <x v="12"/>
    <x v="4"/>
    <n v="4"/>
    <n v="5.4"/>
    <n v="21.6"/>
    <x v="2"/>
  </r>
  <r>
    <x v="252"/>
    <x v="252"/>
    <x v="0"/>
    <x v="8"/>
    <x v="3"/>
    <n v="1"/>
    <n v="6.5"/>
    <n v="6.5"/>
    <x v="2"/>
  </r>
  <r>
    <x v="253"/>
    <x v="253"/>
    <x v="1"/>
    <x v="6"/>
    <x v="4"/>
    <n v="3"/>
    <n v="3.76"/>
    <n v="11.28"/>
    <x v="2"/>
  </r>
  <r>
    <x v="254"/>
    <x v="254"/>
    <x v="4"/>
    <x v="11"/>
    <x v="2"/>
    <n v="6"/>
    <n v="9.51"/>
    <n v="57.06"/>
    <x v="2"/>
  </r>
  <r>
    <x v="255"/>
    <x v="255"/>
    <x v="4"/>
    <x v="13"/>
    <x v="0"/>
    <n v="8"/>
    <n v="6.29"/>
    <n v="50.32"/>
    <x v="2"/>
  </r>
  <r>
    <x v="256"/>
    <x v="256"/>
    <x v="3"/>
    <x v="12"/>
    <x v="4"/>
    <n v="6"/>
    <n v="4.76"/>
    <n v="28.56"/>
    <x v="1"/>
  </r>
  <r>
    <x v="257"/>
    <x v="257"/>
    <x v="4"/>
    <x v="14"/>
    <x v="2"/>
    <n v="7"/>
    <n v="10.67"/>
    <n v="74.69"/>
    <x v="2"/>
  </r>
  <r>
    <x v="258"/>
    <x v="258"/>
    <x v="1"/>
    <x v="1"/>
    <x v="0"/>
    <n v="1"/>
    <n v="7.61"/>
    <n v="7.61"/>
    <x v="3"/>
  </r>
  <r>
    <x v="259"/>
    <x v="259"/>
    <x v="1"/>
    <x v="1"/>
    <x v="1"/>
    <n v="2"/>
    <n v="14.89"/>
    <n v="29.78"/>
    <x v="2"/>
  </r>
  <r>
    <x v="260"/>
    <x v="260"/>
    <x v="3"/>
    <x v="12"/>
    <x v="1"/>
    <n v="3"/>
    <n v="18.98"/>
    <n v="56.94"/>
    <x v="0"/>
  </r>
  <r>
    <x v="261"/>
    <x v="261"/>
    <x v="2"/>
    <x v="3"/>
    <x v="0"/>
    <n v="1"/>
    <n v="6.87"/>
    <n v="6.87"/>
    <x v="1"/>
  </r>
  <r>
    <x v="262"/>
    <x v="262"/>
    <x v="1"/>
    <x v="6"/>
    <x v="4"/>
    <n v="7"/>
    <n v="5.39"/>
    <n v="37.729999999999997"/>
    <x v="3"/>
  </r>
  <r>
    <x v="263"/>
    <x v="263"/>
    <x v="2"/>
    <x v="2"/>
    <x v="0"/>
    <n v="2"/>
    <n v="8.25"/>
    <n v="16.5"/>
    <x v="3"/>
  </r>
  <r>
    <x v="264"/>
    <x v="264"/>
    <x v="2"/>
    <x v="2"/>
    <x v="3"/>
    <n v="5"/>
    <n v="7.2"/>
    <n v="36"/>
    <x v="1"/>
  </r>
  <r>
    <x v="265"/>
    <x v="265"/>
    <x v="2"/>
    <x v="4"/>
    <x v="2"/>
    <n v="8"/>
    <n v="9.26"/>
    <n v="74.08"/>
    <x v="0"/>
  </r>
  <r>
    <x v="266"/>
    <x v="266"/>
    <x v="0"/>
    <x v="8"/>
    <x v="4"/>
    <n v="3"/>
    <n v="4.5"/>
    <n v="13.5"/>
    <x v="1"/>
  </r>
  <r>
    <x v="267"/>
    <x v="267"/>
    <x v="0"/>
    <x v="8"/>
    <x v="4"/>
    <n v="5"/>
    <n v="3.64"/>
    <n v="18.2"/>
    <x v="2"/>
  </r>
  <r>
    <x v="268"/>
    <x v="268"/>
    <x v="4"/>
    <x v="13"/>
    <x v="1"/>
    <n v="8"/>
    <n v="13.22"/>
    <n v="105.76"/>
    <x v="1"/>
  </r>
  <r>
    <x v="269"/>
    <x v="269"/>
    <x v="1"/>
    <x v="9"/>
    <x v="3"/>
    <n v="4"/>
    <n v="6.65"/>
    <n v="26.6"/>
    <x v="3"/>
  </r>
  <r>
    <x v="270"/>
    <x v="270"/>
    <x v="4"/>
    <x v="11"/>
    <x v="1"/>
    <n v="6"/>
    <n v="14.55"/>
    <n v="87.3"/>
    <x v="1"/>
  </r>
  <r>
    <x v="271"/>
    <x v="271"/>
    <x v="2"/>
    <x v="4"/>
    <x v="3"/>
    <n v="6"/>
    <n v="4.8600000000000003"/>
    <n v="29.16"/>
    <x v="0"/>
  </r>
  <r>
    <x v="272"/>
    <x v="272"/>
    <x v="4"/>
    <x v="14"/>
    <x v="3"/>
    <n v="7"/>
    <n v="7.37"/>
    <n v="51.59"/>
    <x v="3"/>
  </r>
  <r>
    <x v="273"/>
    <x v="273"/>
    <x v="0"/>
    <x v="8"/>
    <x v="3"/>
    <n v="6"/>
    <n v="5.34"/>
    <n v="32.04"/>
    <x v="0"/>
  </r>
  <r>
    <x v="274"/>
    <x v="274"/>
    <x v="1"/>
    <x v="9"/>
    <x v="0"/>
    <n v="3"/>
    <n v="5.67"/>
    <n v="17.010000000000002"/>
    <x v="3"/>
  </r>
  <r>
    <x v="275"/>
    <x v="275"/>
    <x v="2"/>
    <x v="4"/>
    <x v="2"/>
    <n v="8"/>
    <n v="9.33"/>
    <n v="74.64"/>
    <x v="2"/>
  </r>
  <r>
    <x v="276"/>
    <x v="276"/>
    <x v="0"/>
    <x v="7"/>
    <x v="2"/>
    <n v="1"/>
    <n v="7.97"/>
    <n v="7.97"/>
    <x v="0"/>
  </r>
  <r>
    <x v="277"/>
    <x v="277"/>
    <x v="2"/>
    <x v="2"/>
    <x v="0"/>
    <n v="5"/>
    <n v="7.2"/>
    <n v="36"/>
    <x v="1"/>
  </r>
  <r>
    <x v="278"/>
    <x v="278"/>
    <x v="3"/>
    <x v="5"/>
    <x v="4"/>
    <n v="5"/>
    <n v="4.1100000000000003"/>
    <n v="20.5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95D266-CA10-CC4C-BD66-2082BD7F61B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B18"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items count="6">
        <item x="1"/>
        <item x="3"/>
        <item x="0"/>
        <item x="2"/>
        <item x="4"/>
        <item t="default"/>
      </items>
    </pivotField>
    <pivotField showAll="0">
      <items count="16">
        <item x="4"/>
        <item x="12"/>
        <item x="1"/>
        <item x="6"/>
        <item x="9"/>
        <item x="3"/>
        <item x="11"/>
        <item x="2"/>
        <item x="5"/>
        <item x="10"/>
        <item x="13"/>
        <item x="8"/>
        <item x="14"/>
        <item x="0"/>
        <item x="7"/>
        <item t="default"/>
      </items>
    </pivotField>
    <pivotField axis="axisRow" showAll="0">
      <items count="6">
        <item x="3"/>
        <item x="2"/>
        <item x="0"/>
        <item x="1"/>
        <item x="4"/>
        <item t="default"/>
      </items>
    </pivotField>
    <pivotField numFmtId="3" showAll="0"/>
    <pivotField numFmtId="4" showAll="0"/>
    <pivotField dataField="1" numFmtId="4" showAll="0"/>
    <pivotField showAll="0">
      <items count="5">
        <item x="2"/>
        <item x="0"/>
        <item x="1"/>
        <item x="3"/>
        <item t="default"/>
      </items>
    </pivotField>
  </pivotFields>
  <rowFields count="1">
    <field x="4"/>
  </rowFields>
  <rowItems count="6">
    <i>
      <x/>
    </i>
    <i>
      <x v="1"/>
    </i>
    <i>
      <x v="2"/>
    </i>
    <i>
      <x v="3"/>
    </i>
    <i>
      <x v="4"/>
    </i>
    <i t="grand">
      <x/>
    </i>
  </rowItems>
  <colItems count="1">
    <i/>
  </colItems>
  <dataFields count="1">
    <dataField name="Sum of Total Sales ($)" fld="7" baseField="0" baseItem="0" numFmtId="4"/>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2" format="10">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 chart="2"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E7C1D9-2CA4-B044-80FC-05A970B3CE1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16">
        <item x="4"/>
        <item x="12"/>
        <item x="1"/>
        <item x="6"/>
        <item x="9"/>
        <item x="3"/>
        <item x="11"/>
        <item x="2"/>
        <item x="5"/>
        <item x="10"/>
        <item x="13"/>
        <item x="8"/>
        <item x="14"/>
        <item x="0"/>
        <item x="7"/>
        <item t="default"/>
      </items>
    </pivotField>
    <pivotField showAll="0">
      <items count="6">
        <item x="3"/>
        <item x="2"/>
        <item x="0"/>
        <item x="1"/>
        <item x="4"/>
        <item t="default"/>
      </items>
    </pivotField>
    <pivotField numFmtId="3" showAll="0"/>
    <pivotField numFmtId="4" showAll="0"/>
    <pivotField dataField="1" numFmtId="4" showAll="0"/>
    <pivotField showAll="0">
      <items count="5">
        <item x="2"/>
        <item x="0"/>
        <item x="1"/>
        <item x="3"/>
        <item t="default"/>
      </items>
    </pivotField>
  </pivotFields>
  <rowFields count="1">
    <field x="2"/>
  </rowFields>
  <rowItems count="6">
    <i>
      <x v="3"/>
    </i>
    <i>
      <x v="2"/>
    </i>
    <i>
      <x/>
    </i>
    <i>
      <x v="4"/>
    </i>
    <i>
      <x v="1"/>
    </i>
    <i t="grand">
      <x/>
    </i>
  </rowItems>
  <colItems count="1">
    <i/>
  </colItems>
  <dataFields count="1">
    <dataField name="Sum of Total Sales ($)" fld="7" baseField="0" baseItem="0" numFmtId="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6D208-7455-B742-A828-254BAF3A24C6}"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8"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items count="6">
        <item x="1"/>
        <item x="3"/>
        <item x="0"/>
        <item x="2"/>
        <item x="4"/>
        <item t="default"/>
      </items>
    </pivotField>
    <pivotField showAll="0">
      <items count="16">
        <item x="4"/>
        <item x="12"/>
        <item x="1"/>
        <item x="6"/>
        <item x="9"/>
        <item x="3"/>
        <item x="11"/>
        <item x="2"/>
        <item x="5"/>
        <item x="10"/>
        <item x="13"/>
        <item x="8"/>
        <item x="14"/>
        <item x="0"/>
        <item x="7"/>
        <item t="default"/>
      </items>
    </pivotField>
    <pivotField showAll="0">
      <items count="6">
        <item x="3"/>
        <item x="2"/>
        <item x="0"/>
        <item x="1"/>
        <item x="4"/>
        <item t="default"/>
      </items>
    </pivotField>
    <pivotField numFmtId="3" showAll="0"/>
    <pivotField numFmtId="4" showAll="0"/>
    <pivotField dataField="1" numFmtId="4" showAll="0"/>
    <pivotField axis="axisRow" showAll="0">
      <items count="5">
        <item x="2"/>
        <item x="0"/>
        <item x="1"/>
        <item x="3"/>
        <item t="default"/>
      </items>
    </pivotField>
  </pivotFields>
  <rowFields count="1">
    <field x="8"/>
  </rowFields>
  <rowItems count="5">
    <i>
      <x/>
    </i>
    <i>
      <x v="1"/>
    </i>
    <i>
      <x v="2"/>
    </i>
    <i>
      <x v="3"/>
    </i>
    <i t="grand">
      <x/>
    </i>
  </rowItems>
  <colItems count="1">
    <i/>
  </colItems>
  <dataFields count="1">
    <dataField name="Sum of Total Sales ($)" fld="7" baseField="0" baseItem="0" numFmtId="4"/>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DE59EB-0437-F74E-88D7-745172D1E47C}"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B132"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axis="axisRow"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t="default"/>
      </items>
    </pivotField>
    <pivotField showAll="0">
      <items count="6">
        <item x="1"/>
        <item x="3"/>
        <item x="0"/>
        <item x="2"/>
        <item x="4"/>
        <item t="default"/>
      </items>
    </pivotField>
    <pivotField showAll="0">
      <items count="16">
        <item x="4"/>
        <item x="12"/>
        <item x="1"/>
        <item x="6"/>
        <item x="9"/>
        <item x="3"/>
        <item x="11"/>
        <item x="2"/>
        <item x="5"/>
        <item x="10"/>
        <item x="13"/>
        <item x="8"/>
        <item x="14"/>
        <item x="0"/>
        <item x="7"/>
        <item t="default"/>
      </items>
    </pivotField>
    <pivotField showAll="0">
      <items count="6">
        <item x="3"/>
        <item x="2"/>
        <item x="0"/>
        <item x="1"/>
        <item x="4"/>
        <item t="default"/>
      </items>
    </pivotField>
    <pivotField numFmtId="3" showAll="0"/>
    <pivotField numFmtId="4" showAll="0"/>
    <pivotField dataField="1" numFmtId="4" showAll="0"/>
    <pivotField showAll="0">
      <items count="5">
        <item x="2"/>
        <item x="0"/>
        <item x="1"/>
        <item x="3"/>
        <item t="default"/>
      </items>
    </pivotField>
  </pivotFields>
  <rowFields count="1">
    <field x="1"/>
  </rowFields>
  <rowItems count="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t="grand">
      <x/>
    </i>
  </rowItems>
  <colItems count="1">
    <i/>
  </colItems>
  <dataFields count="1">
    <dataField name="Sum of Total Sales ($)" fld="7" baseField="0" baseItem="0" numFmtId="4"/>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FE8343-C5D3-D24F-BF6F-42A4B45BD0DF}"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B36"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items count="6">
        <item x="1"/>
        <item x="3"/>
        <item x="0"/>
        <item x="2"/>
        <item x="4"/>
        <item t="default"/>
      </items>
    </pivotField>
    <pivotField axis="axisRow" showAll="0">
      <items count="16">
        <item x="4"/>
        <item x="12"/>
        <item x="1"/>
        <item x="6"/>
        <item x="9"/>
        <item x="3"/>
        <item x="11"/>
        <item x="2"/>
        <item x="5"/>
        <item x="10"/>
        <item x="13"/>
        <item x="8"/>
        <item x="14"/>
        <item x="0"/>
        <item x="7"/>
        <item t="default"/>
      </items>
    </pivotField>
    <pivotField showAll="0">
      <items count="6">
        <item x="3"/>
        <item x="2"/>
        <item x="0"/>
        <item x="1"/>
        <item x="4"/>
        <item t="default"/>
      </items>
    </pivotField>
    <pivotField numFmtId="3" showAll="0"/>
    <pivotField numFmtId="4" showAll="0"/>
    <pivotField dataField="1" numFmtId="4" showAll="0"/>
    <pivotField showAll="0">
      <items count="5">
        <item x="2"/>
        <item x="0"/>
        <item x="1"/>
        <item x="3"/>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Total Sales ($)" fld="7"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4B11E4ED-EB0B-DB43-A8BB-1F887674388B}" sourceName="Store Name">
  <pivotTables>
    <pivotTable tabId="5" name="PivotTable3"/>
    <pivotTable tabId="5" name="PivotTable1"/>
    <pivotTable tabId="5" name="PivotTable2"/>
    <pivotTable tabId="5" name="PivotTable4"/>
    <pivotTable tabId="5" name="PivotTable5"/>
  </pivotTables>
  <data>
    <tabular pivotCacheId="1545706429">
      <items count="15">
        <i x="4" s="1"/>
        <i x="12" s="1"/>
        <i x="1" s="1"/>
        <i x="6" s="1"/>
        <i x="9" s="1"/>
        <i x="3" s="1"/>
        <i x="11" s="1"/>
        <i x="2" s="1"/>
        <i x="5" s="1"/>
        <i x="10" s="1"/>
        <i x="13" s="1"/>
        <i x="8" s="1"/>
        <i x="14"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9C9024-D89E-414E-B708-E8ADD2839B56}" sourceName="Region">
  <pivotTables>
    <pivotTable tabId="5" name="PivotTable5"/>
    <pivotTable tabId="5" name="PivotTable1"/>
    <pivotTable tabId="5" name="PivotTable2"/>
    <pivotTable tabId="5" name="PivotTable3"/>
    <pivotTable tabId="5" name="PivotTable4"/>
  </pivotTables>
  <data>
    <tabular pivotCacheId="1545706429">
      <items count="5">
        <i x="1" s="1"/>
        <i x="3"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9CD7C5-1220-1140-A3C4-1D55B6CC2102}" sourceName="Category">
  <pivotTables>
    <pivotTable tabId="5" name="PivotTable1"/>
    <pivotTable tabId="5" name="PivotTable2"/>
    <pivotTable tabId="5" name="PivotTable3"/>
    <pivotTable tabId="5" name="PivotTable4"/>
    <pivotTable tabId="5" name="PivotTable5"/>
  </pivotTables>
  <data>
    <tabular pivotCacheId="1545706429">
      <items count="5">
        <i x="3" s="1"/>
        <i x="2"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6EFCEC5-E9C7-D845-9052-4080A13DA677}" sourceName="Payment Method">
  <pivotTables>
    <pivotTable tabId="5" name="PivotTable5"/>
    <pivotTable tabId="5" name="PivotTable1"/>
    <pivotTable tabId="5" name="PivotTable2"/>
    <pivotTable tabId="5" name="PivotTable3"/>
    <pivotTable tabId="5" name="PivotTable4"/>
  </pivotTables>
  <data>
    <tabular pivotCacheId="1545706429">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2DD5BCB6-D56D-4247-9D0C-3BE91EE4E25A}" cache="Slicer_Store_Name" caption="Store Name" style="SlicerStyleLight3" rowHeight="230716"/>
  <slicer name="Region" xr10:uid="{2207A5D8-C858-8B4A-BCB9-5AC4AEB89886}" cache="Slicer_Region" caption="Region" style="SlicerStyleLight3" rowHeight="230716"/>
  <slicer name="Category" xr10:uid="{8F207C16-490F-0644-B123-95604DBBD25A}" cache="Slicer_Category" caption="Category" style="SlicerStyleLight3" rowHeight="230716"/>
  <slicer name="Payment Method" xr10:uid="{8EC9C8F9-BF17-114A-93DA-B614D863C699}" cache="Slicer_Payment_Method" caption="Payment Method" style="SlicerStyleLight3" rowHeight="230716"/>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4A"/>
  </sheetPr>
  <dimension ref="A1:Z51"/>
  <sheetViews>
    <sheetView showGridLines="0" tabSelected="1" zoomScale="79" zoomScaleNormal="100" workbookViewId="0">
      <selection activeCell="E9" sqref="E9"/>
    </sheetView>
  </sheetViews>
  <sheetFormatPr baseColWidth="10" defaultColWidth="8.6640625" defaultRowHeight="15" x14ac:dyDescent="0.2"/>
  <cols>
    <col min="1" max="1" width="16" customWidth="1"/>
    <col min="2" max="2" width="13" customWidth="1"/>
    <col min="3" max="3" width="7.1640625" customWidth="1"/>
    <col min="4" max="4" width="13" customWidth="1"/>
    <col min="5" max="5" width="18.5" customWidth="1"/>
    <col min="6" max="8" width="13" customWidth="1"/>
    <col min="9" max="9" width="14" customWidth="1"/>
    <col min="10" max="12" width="13" customWidth="1"/>
    <col min="13" max="13" width="19" customWidth="1"/>
    <col min="14" max="15" width="13" customWidth="1"/>
    <col min="16" max="16" width="11.1640625" customWidth="1"/>
    <col min="17" max="17" width="0.6640625" customWidth="1"/>
    <col min="18" max="18" width="13" customWidth="1"/>
    <col min="19" max="19" width="15.83203125" customWidth="1"/>
    <col min="20" max="20" width="11.5" customWidth="1"/>
    <col min="21" max="21" width="14" customWidth="1"/>
    <col min="22" max="22" width="14.5" customWidth="1"/>
  </cols>
  <sheetData>
    <row r="1" spans="1:26" ht="45" customHeight="1" x14ac:dyDescent="0.2">
      <c r="A1" s="57" t="s">
        <v>0</v>
      </c>
      <c r="B1" s="57"/>
      <c r="C1" s="57"/>
      <c r="D1" s="57"/>
      <c r="E1" s="57"/>
      <c r="F1" s="57"/>
      <c r="G1" s="57"/>
      <c r="H1" s="57"/>
      <c r="I1" s="57"/>
      <c r="J1" s="57"/>
      <c r="K1" s="57"/>
      <c r="L1" s="57"/>
      <c r="M1" s="57"/>
      <c r="N1" s="57"/>
      <c r="O1" s="57"/>
      <c r="P1" s="57"/>
      <c r="Q1" s="57"/>
      <c r="R1" s="57"/>
      <c r="S1" s="57"/>
      <c r="T1" s="40"/>
      <c r="U1" s="40"/>
      <c r="V1" s="40"/>
      <c r="W1" s="40"/>
      <c r="X1" s="40"/>
      <c r="Y1" s="40"/>
      <c r="Z1" s="40"/>
    </row>
    <row r="2" spans="1:26" ht="19.5" customHeight="1" x14ac:dyDescent="0.2">
      <c r="A2" s="57"/>
      <c r="B2" s="57"/>
      <c r="C2" s="57"/>
      <c r="D2" s="57"/>
      <c r="E2" s="57"/>
      <c r="F2" s="57"/>
      <c r="G2" s="57"/>
      <c r="H2" s="57"/>
      <c r="I2" s="57"/>
      <c r="J2" s="57"/>
      <c r="K2" s="57"/>
      <c r="L2" s="57"/>
      <c r="M2" s="57"/>
      <c r="N2" s="57"/>
      <c r="O2" s="57"/>
      <c r="P2" s="57"/>
      <c r="Q2" s="57"/>
      <c r="R2" s="57"/>
      <c r="S2" s="57"/>
      <c r="T2" s="40"/>
      <c r="U2" s="40"/>
      <c r="V2" s="40"/>
      <c r="W2" s="40"/>
      <c r="X2" s="40"/>
      <c r="Y2" s="40"/>
      <c r="Z2" s="40"/>
    </row>
    <row r="3" spans="1:26" x14ac:dyDescent="0.2">
      <c r="A3" s="30"/>
      <c r="B3" s="30"/>
      <c r="C3" s="30"/>
      <c r="D3" s="30"/>
      <c r="E3" s="30"/>
      <c r="F3" s="30"/>
      <c r="G3" s="30"/>
      <c r="H3" s="30"/>
      <c r="I3" s="30"/>
      <c r="J3" s="30"/>
      <c r="K3" s="30"/>
      <c r="L3" s="30"/>
      <c r="M3" s="30"/>
      <c r="N3" s="30"/>
      <c r="O3" s="30"/>
      <c r="P3" s="30"/>
      <c r="Q3" s="30"/>
      <c r="R3" s="30"/>
      <c r="S3" s="30"/>
      <c r="T3" s="30"/>
      <c r="U3" s="30"/>
      <c r="V3" s="30"/>
      <c r="W3" s="30"/>
      <c r="X3" s="30"/>
      <c r="Y3" s="30"/>
      <c r="Z3" s="30"/>
    </row>
    <row r="4" spans="1:26" ht="24" customHeight="1" x14ac:dyDescent="0.2">
      <c r="A4" s="30"/>
      <c r="B4" s="65" t="s">
        <v>1</v>
      </c>
      <c r="C4" s="65"/>
      <c r="D4" s="65"/>
      <c r="E4" s="31"/>
      <c r="F4" s="66" t="s">
        <v>2</v>
      </c>
      <c r="G4" s="66"/>
      <c r="H4" s="66"/>
      <c r="I4" s="32"/>
      <c r="J4" s="67" t="s">
        <v>3</v>
      </c>
      <c r="K4" s="67"/>
      <c r="L4" s="67"/>
      <c r="M4" s="33"/>
      <c r="N4" s="68" t="s">
        <v>4</v>
      </c>
      <c r="O4" s="68"/>
      <c r="P4" s="68"/>
      <c r="Q4" s="30"/>
      <c r="R4" s="30"/>
      <c r="S4" s="30"/>
      <c r="T4" s="30"/>
      <c r="U4" s="30"/>
      <c r="V4" s="30"/>
      <c r="W4" s="30"/>
      <c r="X4" s="30"/>
      <c r="Y4" s="30"/>
      <c r="Z4" s="30"/>
    </row>
    <row r="5" spans="1:26" ht="24" customHeight="1" x14ac:dyDescent="0.2">
      <c r="A5" s="30"/>
      <c r="B5" s="58">
        <v>10859</v>
      </c>
      <c r="C5" s="59"/>
      <c r="D5" s="59"/>
      <c r="E5" s="34"/>
      <c r="F5" s="60">
        <v>279</v>
      </c>
      <c r="G5" s="60"/>
      <c r="H5" s="60"/>
      <c r="I5" s="35"/>
      <c r="J5" s="61">
        <v>1238</v>
      </c>
      <c r="K5" s="62"/>
      <c r="L5" s="62"/>
      <c r="M5" s="36"/>
      <c r="N5" s="63">
        <v>38.92</v>
      </c>
      <c r="O5" s="64"/>
      <c r="P5" s="64"/>
      <c r="Q5" s="30"/>
      <c r="R5" s="30"/>
      <c r="S5" s="30"/>
      <c r="T5" s="30"/>
      <c r="U5" s="30"/>
      <c r="V5" s="30"/>
      <c r="W5" s="30"/>
      <c r="X5" s="30"/>
      <c r="Y5" s="30"/>
      <c r="Z5" s="30"/>
    </row>
    <row r="6" spans="1:26" ht="24" customHeight="1" x14ac:dyDescent="0.2">
      <c r="A6" s="30"/>
      <c r="B6" s="59"/>
      <c r="C6" s="59"/>
      <c r="D6" s="59"/>
      <c r="E6" s="34"/>
      <c r="F6" s="60"/>
      <c r="G6" s="60"/>
      <c r="H6" s="60"/>
      <c r="I6" s="35"/>
      <c r="J6" s="62"/>
      <c r="K6" s="62"/>
      <c r="L6" s="62"/>
      <c r="M6" s="36"/>
      <c r="N6" s="64"/>
      <c r="O6" s="64"/>
      <c r="P6" s="64"/>
      <c r="Q6" s="30"/>
      <c r="R6" s="30"/>
      <c r="S6" s="30"/>
      <c r="T6" s="30"/>
      <c r="U6" s="30"/>
      <c r="V6" s="30"/>
      <c r="W6" s="30"/>
      <c r="X6" s="30"/>
      <c r="Y6" s="30"/>
      <c r="Z6" s="30"/>
    </row>
    <row r="7" spans="1:26" ht="24" customHeight="1" x14ac:dyDescent="0.2">
      <c r="A7" s="30"/>
      <c r="B7" s="59"/>
      <c r="C7" s="59"/>
      <c r="D7" s="59"/>
      <c r="E7" s="34"/>
      <c r="F7" s="60"/>
      <c r="G7" s="60"/>
      <c r="H7" s="60"/>
      <c r="I7" s="35"/>
      <c r="J7" s="62"/>
      <c r="K7" s="62"/>
      <c r="L7" s="62"/>
      <c r="M7" s="36"/>
      <c r="N7" s="64"/>
      <c r="O7" s="64"/>
      <c r="P7" s="64"/>
      <c r="Q7" s="30"/>
      <c r="R7" s="30"/>
      <c r="S7" s="30"/>
      <c r="T7" s="30"/>
      <c r="U7" s="30"/>
      <c r="V7" s="30"/>
      <c r="W7" s="30"/>
      <c r="X7" s="30"/>
      <c r="Y7" s="30"/>
      <c r="Z7" s="30"/>
    </row>
    <row r="8" spans="1:26" x14ac:dyDescent="0.2">
      <c r="A8" s="30"/>
      <c r="B8" s="30"/>
      <c r="C8" s="30"/>
      <c r="D8" s="30"/>
      <c r="E8" s="30"/>
      <c r="F8" s="30"/>
      <c r="G8" s="30"/>
      <c r="H8" s="30"/>
      <c r="I8" s="30"/>
      <c r="J8" s="30"/>
      <c r="K8" s="30"/>
      <c r="L8" s="30"/>
      <c r="M8" s="30"/>
      <c r="N8" s="30"/>
      <c r="O8" s="30"/>
      <c r="P8" s="30"/>
      <c r="Q8" s="30"/>
      <c r="R8" s="30"/>
      <c r="S8" s="30"/>
      <c r="T8" s="30"/>
      <c r="U8" s="30"/>
      <c r="V8" s="30"/>
      <c r="W8" s="30"/>
      <c r="X8" s="30"/>
      <c r="Y8" s="30"/>
      <c r="Z8" s="30"/>
    </row>
    <row r="9" spans="1:26" ht="21.75" customHeight="1" x14ac:dyDescent="0.2">
      <c r="A9" s="30"/>
      <c r="B9" s="30"/>
      <c r="C9" s="30"/>
      <c r="D9" s="30"/>
      <c r="E9" s="30"/>
      <c r="F9" s="37"/>
      <c r="G9" s="30"/>
      <c r="H9" s="30"/>
      <c r="I9" s="30"/>
      <c r="J9" s="30"/>
      <c r="K9" s="30"/>
      <c r="L9" s="38"/>
      <c r="M9" s="39"/>
      <c r="N9" s="30"/>
      <c r="O9" s="30"/>
      <c r="P9" s="30"/>
      <c r="Q9" s="30"/>
      <c r="R9" s="30"/>
      <c r="S9" s="30"/>
      <c r="T9" s="30"/>
      <c r="U9" s="30"/>
      <c r="V9" s="30"/>
      <c r="W9" s="30"/>
      <c r="X9" s="30"/>
      <c r="Y9" s="30"/>
      <c r="Z9" s="30"/>
    </row>
    <row r="10" spans="1:26" ht="19.5" customHeight="1" x14ac:dyDescent="0.2">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ht="19.5" customHeight="1" x14ac:dyDescent="0.2">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ht="19.5" customHeight="1" x14ac:dyDescent="0.2">
      <c r="A12" s="30"/>
      <c r="B12" s="30"/>
      <c r="C12" s="30"/>
      <c r="D12" s="30"/>
      <c r="E12" s="30"/>
      <c r="F12" s="30"/>
      <c r="G12" s="30"/>
      <c r="H12" s="30"/>
      <c r="I12" s="30"/>
      <c r="J12" s="30"/>
      <c r="K12" s="30"/>
      <c r="L12" s="30"/>
      <c r="M12" s="30"/>
      <c r="N12" s="30"/>
      <c r="O12" s="30"/>
      <c r="P12" s="30"/>
      <c r="Q12" s="30"/>
      <c r="R12" s="55" t="s">
        <v>5</v>
      </c>
      <c r="S12" s="55"/>
      <c r="T12" s="55"/>
      <c r="U12" s="55"/>
      <c r="V12" s="30"/>
      <c r="W12" s="30"/>
      <c r="X12" s="30"/>
      <c r="Y12" s="30"/>
      <c r="Z12" s="30"/>
    </row>
    <row r="13" spans="1:26" ht="19.5" customHeight="1" x14ac:dyDescent="0.2">
      <c r="A13" s="30"/>
      <c r="B13" s="30"/>
      <c r="C13" s="30"/>
      <c r="D13" s="30"/>
      <c r="E13" s="30"/>
      <c r="F13" s="30"/>
      <c r="G13" s="30"/>
      <c r="H13" s="30"/>
      <c r="I13" s="30"/>
      <c r="J13" s="30"/>
      <c r="K13" s="30"/>
      <c r="L13" s="30"/>
      <c r="M13" s="30"/>
      <c r="N13" s="30"/>
      <c r="O13" s="30"/>
      <c r="P13" s="30"/>
      <c r="Q13" s="30"/>
      <c r="R13" s="50" t="s">
        <v>7</v>
      </c>
      <c r="S13" s="50" t="s">
        <v>8</v>
      </c>
      <c r="T13" s="50" t="s">
        <v>9</v>
      </c>
      <c r="U13" s="50" t="s">
        <v>10</v>
      </c>
      <c r="V13" s="30"/>
      <c r="W13" s="30"/>
      <c r="X13" s="30"/>
      <c r="Y13" s="30"/>
      <c r="Z13" s="30"/>
    </row>
    <row r="14" spans="1:26" ht="19.5" customHeight="1" x14ac:dyDescent="0.2">
      <c r="A14" s="30"/>
      <c r="B14" s="30"/>
      <c r="C14" s="30"/>
      <c r="D14" s="30"/>
      <c r="E14" s="30"/>
      <c r="F14" s="30"/>
      <c r="G14" s="30"/>
      <c r="H14" s="30"/>
      <c r="I14" s="30"/>
      <c r="J14" s="30"/>
      <c r="K14" s="30"/>
      <c r="L14" s="30"/>
      <c r="M14" s="30"/>
      <c r="N14" s="30"/>
      <c r="O14" s="30"/>
      <c r="P14" s="30"/>
      <c r="Q14" s="30"/>
      <c r="R14" s="41" t="s">
        <v>14</v>
      </c>
      <c r="S14" s="42">
        <v>1994.22</v>
      </c>
      <c r="T14" s="43">
        <v>52</v>
      </c>
      <c r="U14" s="44">
        <v>18.399999999999999</v>
      </c>
      <c r="V14" s="30"/>
      <c r="W14" s="30"/>
      <c r="X14" s="30"/>
      <c r="Y14" s="30"/>
      <c r="Z14" s="30"/>
    </row>
    <row r="15" spans="1:26" ht="19.5" customHeight="1" x14ac:dyDescent="0.2">
      <c r="A15" s="30"/>
      <c r="B15" s="30"/>
      <c r="C15" s="30"/>
      <c r="D15" s="30"/>
      <c r="E15" s="30"/>
      <c r="F15" s="30"/>
      <c r="G15" s="30"/>
      <c r="H15" s="30"/>
      <c r="I15" s="30"/>
      <c r="J15" s="30"/>
      <c r="K15" s="30"/>
      <c r="L15" s="30"/>
      <c r="M15" s="30"/>
      <c r="N15" s="30"/>
      <c r="O15" s="30"/>
      <c r="P15" s="30"/>
      <c r="Q15" s="30"/>
      <c r="R15" s="45" t="s">
        <v>16</v>
      </c>
      <c r="S15" s="46">
        <v>2559.02</v>
      </c>
      <c r="T15" s="47">
        <v>59</v>
      </c>
      <c r="U15" s="48">
        <v>23.6</v>
      </c>
      <c r="V15" s="30"/>
      <c r="W15" s="30"/>
      <c r="X15" s="30"/>
      <c r="Y15" s="30"/>
      <c r="Z15" s="30"/>
    </row>
    <row r="16" spans="1:26" x14ac:dyDescent="0.2">
      <c r="A16" s="30"/>
      <c r="B16" s="30"/>
      <c r="C16" s="30"/>
      <c r="D16" s="30"/>
      <c r="E16" s="30"/>
      <c r="F16" s="30"/>
      <c r="G16" s="30"/>
      <c r="H16" s="30"/>
      <c r="I16" s="30"/>
      <c r="J16" s="30"/>
      <c r="K16" s="30"/>
      <c r="L16" s="30"/>
      <c r="M16" s="30"/>
      <c r="N16" s="30"/>
      <c r="O16" s="30"/>
      <c r="P16" s="30"/>
      <c r="Q16" s="30"/>
      <c r="R16" s="41" t="s">
        <v>18</v>
      </c>
      <c r="S16" s="42">
        <v>2378.7199999999998</v>
      </c>
      <c r="T16" s="43">
        <v>62</v>
      </c>
      <c r="U16" s="44">
        <v>21.9</v>
      </c>
      <c r="V16" s="30"/>
      <c r="W16" s="30"/>
      <c r="X16" s="30"/>
      <c r="Y16" s="30"/>
      <c r="Z16" s="30"/>
    </row>
    <row r="17" spans="1:26" ht="24" customHeight="1" x14ac:dyDescent="0.2">
      <c r="A17" s="30"/>
      <c r="B17" s="49"/>
      <c r="C17" s="49"/>
      <c r="D17" s="49"/>
      <c r="E17" s="49"/>
      <c r="F17" s="49"/>
      <c r="G17" s="49"/>
      <c r="H17" s="49"/>
      <c r="I17" s="49"/>
      <c r="J17" s="49"/>
      <c r="K17" s="49"/>
      <c r="L17" s="49"/>
      <c r="M17" s="49"/>
      <c r="N17" s="49"/>
      <c r="O17" s="49"/>
      <c r="P17" s="49"/>
      <c r="Q17" s="49"/>
      <c r="R17" s="45" t="s">
        <v>20</v>
      </c>
      <c r="S17" s="46">
        <v>1797.49</v>
      </c>
      <c r="T17" s="47">
        <v>50</v>
      </c>
      <c r="U17" s="48">
        <v>16.600000000000001</v>
      </c>
      <c r="V17" s="30"/>
      <c r="W17" s="30"/>
      <c r="X17" s="30"/>
      <c r="Y17" s="30"/>
      <c r="Z17" s="30"/>
    </row>
    <row r="18" spans="1:26" x14ac:dyDescent="0.2">
      <c r="A18" s="30"/>
      <c r="B18" s="30"/>
      <c r="C18" s="30"/>
      <c r="D18" s="30"/>
      <c r="E18" s="30"/>
      <c r="F18" s="30"/>
      <c r="G18" s="30"/>
      <c r="H18" s="30"/>
      <c r="I18" s="30"/>
      <c r="J18" s="30"/>
      <c r="K18" s="30"/>
      <c r="L18" s="30"/>
      <c r="M18" s="30"/>
      <c r="N18" s="30"/>
      <c r="O18" s="30"/>
      <c r="P18" s="30"/>
      <c r="Q18" s="30"/>
      <c r="R18" s="41" t="s">
        <v>22</v>
      </c>
      <c r="S18" s="42">
        <v>2129.92</v>
      </c>
      <c r="T18" s="43">
        <v>56</v>
      </c>
      <c r="U18" s="44">
        <v>19.600000000000001</v>
      </c>
      <c r="V18" s="30"/>
      <c r="W18" s="30"/>
      <c r="X18" s="30"/>
      <c r="Y18" s="30"/>
      <c r="Z18" s="30"/>
    </row>
    <row r="19" spans="1:26" x14ac:dyDescent="0.2">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spans="1:26" x14ac:dyDescent="0.2">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spans="1:26" x14ac:dyDescent="0.2">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spans="1:26" x14ac:dyDescent="0.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spans="1:26" x14ac:dyDescent="0.2">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1:26" x14ac:dyDescent="0.2">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spans="1:26" x14ac:dyDescent="0.2">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spans="1:26" x14ac:dyDescent="0.2">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1:26" x14ac:dyDescent="0.2">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spans="1:26" x14ac:dyDescent="0.2">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spans="1:26" x14ac:dyDescent="0.2">
      <c r="A29" s="30"/>
      <c r="B29" s="30"/>
      <c r="C29" s="30"/>
      <c r="D29" s="30"/>
      <c r="E29" s="30"/>
      <c r="F29" s="30"/>
      <c r="G29" s="30"/>
      <c r="H29" s="30"/>
      <c r="I29" s="30"/>
      <c r="J29" s="30"/>
      <c r="K29" s="30"/>
      <c r="L29" s="30"/>
      <c r="M29" s="30"/>
      <c r="N29" s="30"/>
      <c r="O29" s="30"/>
      <c r="P29" s="30"/>
      <c r="Q29" s="30"/>
      <c r="R29" s="56" t="s">
        <v>6</v>
      </c>
      <c r="S29" s="56"/>
      <c r="T29" s="56"/>
      <c r="U29" s="56"/>
      <c r="V29" s="30"/>
      <c r="W29" s="30"/>
      <c r="X29" s="30"/>
      <c r="Y29" s="30"/>
      <c r="Z29" s="30"/>
    </row>
    <row r="30" spans="1:26" ht="15" customHeight="1" x14ac:dyDescent="0.2">
      <c r="A30" s="30"/>
      <c r="B30" s="30"/>
      <c r="C30" s="30"/>
      <c r="D30" s="30"/>
      <c r="E30" s="30"/>
      <c r="F30" s="30"/>
      <c r="G30" s="30"/>
      <c r="H30" s="30"/>
      <c r="I30" s="30"/>
      <c r="J30" s="30"/>
      <c r="K30" s="30"/>
      <c r="L30" s="30"/>
      <c r="M30" s="30"/>
      <c r="N30" s="30"/>
      <c r="O30" s="30"/>
      <c r="P30" s="30"/>
      <c r="Q30" s="30"/>
      <c r="R30" s="51" t="s">
        <v>11</v>
      </c>
      <c r="S30" s="51" t="s">
        <v>8</v>
      </c>
      <c r="T30" s="51" t="s">
        <v>12</v>
      </c>
      <c r="U30" s="51" t="s">
        <v>13</v>
      </c>
      <c r="V30" s="30"/>
      <c r="W30" s="30"/>
      <c r="X30" s="30"/>
      <c r="Y30" s="30"/>
      <c r="Z30" s="30"/>
    </row>
    <row r="31" spans="1:26" ht="15" customHeight="1" x14ac:dyDescent="0.2">
      <c r="A31" s="30"/>
      <c r="B31" s="30"/>
      <c r="C31" s="30"/>
      <c r="D31" s="30"/>
      <c r="E31" s="30"/>
      <c r="F31" s="30"/>
      <c r="G31" s="30"/>
      <c r="H31" s="30"/>
      <c r="I31" s="30"/>
      <c r="J31" s="30"/>
      <c r="K31" s="30"/>
      <c r="L31" s="30"/>
      <c r="M31" s="30"/>
      <c r="N31" s="30"/>
      <c r="O31" s="30"/>
      <c r="P31" s="30"/>
      <c r="Q31" s="30"/>
      <c r="R31" s="52" t="s">
        <v>15</v>
      </c>
      <c r="S31" s="53">
        <v>1279.01</v>
      </c>
      <c r="T31" s="54">
        <v>208</v>
      </c>
      <c r="U31" s="53">
        <v>6.15</v>
      </c>
      <c r="V31" s="30"/>
      <c r="W31" s="30"/>
      <c r="X31" s="30"/>
      <c r="Y31" s="30"/>
      <c r="Z31" s="30"/>
    </row>
    <row r="32" spans="1:26" ht="15" customHeight="1" x14ac:dyDescent="0.2">
      <c r="A32" s="30"/>
      <c r="B32" s="30"/>
      <c r="C32" s="30"/>
      <c r="D32" s="30"/>
      <c r="E32" s="30"/>
      <c r="F32" s="30"/>
      <c r="G32" s="30"/>
      <c r="H32" s="30"/>
      <c r="I32" s="30"/>
      <c r="J32" s="30"/>
      <c r="K32" s="30"/>
      <c r="L32" s="30"/>
      <c r="M32" s="30"/>
      <c r="N32" s="30"/>
      <c r="O32" s="30"/>
      <c r="P32" s="30"/>
      <c r="Q32" s="30"/>
      <c r="R32" s="52" t="s">
        <v>17</v>
      </c>
      <c r="S32" s="53">
        <v>1020.85</v>
      </c>
      <c r="T32" s="54">
        <v>236</v>
      </c>
      <c r="U32" s="53">
        <v>4.33</v>
      </c>
      <c r="V32" s="30"/>
      <c r="W32" s="30"/>
      <c r="X32" s="30"/>
      <c r="Y32" s="30"/>
      <c r="Z32" s="30"/>
    </row>
    <row r="33" spans="1:26" ht="15" customHeight="1" x14ac:dyDescent="0.2">
      <c r="A33" s="30"/>
      <c r="B33" s="30"/>
      <c r="C33" s="30"/>
      <c r="D33" s="30"/>
      <c r="E33" s="30"/>
      <c r="F33" s="30"/>
      <c r="G33" s="30"/>
      <c r="H33" s="30"/>
      <c r="I33" s="30"/>
      <c r="J33" s="30"/>
      <c r="K33" s="30"/>
      <c r="L33" s="30"/>
      <c r="M33" s="30"/>
      <c r="N33" s="30"/>
      <c r="O33" s="30"/>
      <c r="P33" s="30"/>
      <c r="Q33" s="30"/>
      <c r="R33" s="52" t="s">
        <v>19</v>
      </c>
      <c r="S33" s="53">
        <v>1679.56</v>
      </c>
      <c r="T33" s="54">
        <v>240</v>
      </c>
      <c r="U33" s="53">
        <v>7</v>
      </c>
      <c r="V33" s="30"/>
      <c r="W33" s="30"/>
      <c r="X33" s="30"/>
      <c r="Y33" s="30"/>
      <c r="Z33" s="30"/>
    </row>
    <row r="34" spans="1:26" ht="15" customHeight="1" x14ac:dyDescent="0.2">
      <c r="A34" s="30"/>
      <c r="B34" s="30"/>
      <c r="C34" s="30"/>
      <c r="D34" s="30"/>
      <c r="E34" s="30"/>
      <c r="F34" s="30"/>
      <c r="G34" s="30"/>
      <c r="H34" s="30"/>
      <c r="I34" s="30"/>
      <c r="J34" s="30"/>
      <c r="K34" s="30"/>
      <c r="L34" s="30"/>
      <c r="M34" s="30"/>
      <c r="N34" s="30"/>
      <c r="O34" s="30"/>
      <c r="P34" s="30"/>
      <c r="Q34" s="30"/>
      <c r="R34" s="52" t="s">
        <v>21</v>
      </c>
      <c r="S34" s="53">
        <v>2567.34</v>
      </c>
      <c r="T34" s="54">
        <v>293</v>
      </c>
      <c r="U34" s="53">
        <v>8.76</v>
      </c>
      <c r="V34" s="30"/>
      <c r="W34" s="30"/>
      <c r="X34" s="30"/>
      <c r="Y34" s="30"/>
      <c r="Z34" s="30"/>
    </row>
    <row r="35" spans="1:26" ht="15" customHeight="1" x14ac:dyDescent="0.2">
      <c r="A35" s="30"/>
      <c r="B35" s="30"/>
      <c r="C35" s="30"/>
      <c r="D35" s="30"/>
      <c r="E35" s="30"/>
      <c r="F35" s="30"/>
      <c r="G35" s="30"/>
      <c r="H35" s="30"/>
      <c r="I35" s="30"/>
      <c r="J35" s="30"/>
      <c r="K35" s="30"/>
      <c r="L35" s="30"/>
      <c r="M35" s="30"/>
      <c r="N35" s="30"/>
      <c r="O35" s="30"/>
      <c r="P35" s="30"/>
      <c r="Q35" s="30"/>
      <c r="R35" s="52" t="s">
        <v>23</v>
      </c>
      <c r="S35" s="53">
        <v>4312.6099999999997</v>
      </c>
      <c r="T35" s="54">
        <v>261</v>
      </c>
      <c r="U35" s="53">
        <v>16.52</v>
      </c>
      <c r="V35" s="30"/>
      <c r="W35" s="30"/>
      <c r="X35" s="30"/>
      <c r="Y35" s="30"/>
      <c r="Z35" s="30"/>
    </row>
    <row r="36" spans="1:26" ht="15" customHeight="1" x14ac:dyDescent="0.2">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1:26" x14ac:dyDescent="0.2">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spans="1:26" x14ac:dyDescent="0.2">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1:26" x14ac:dyDescent="0.2">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spans="1:26" x14ac:dyDescent="0.2">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spans="1:26" x14ac:dyDescent="0.2">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spans="1:26" x14ac:dyDescent="0.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spans="1:26" x14ac:dyDescent="0.2">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1:26" x14ac:dyDescent="0.2">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1:26" x14ac:dyDescent="0.2">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1:26" x14ac:dyDescent="0.2">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1:26" x14ac:dyDescent="0.2">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spans="1:26" x14ac:dyDescent="0.2">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1:26" x14ac:dyDescent="0.2">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spans="1:26" x14ac:dyDescent="0.2">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1:26" x14ac:dyDescent="0.2">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sheetData>
  <mergeCells count="11">
    <mergeCell ref="R12:U12"/>
    <mergeCell ref="R29:U29"/>
    <mergeCell ref="A1:S2"/>
    <mergeCell ref="B5:D7"/>
    <mergeCell ref="F5:H7"/>
    <mergeCell ref="J5:L7"/>
    <mergeCell ref="N5:P7"/>
    <mergeCell ref="B4:D4"/>
    <mergeCell ref="F4:H4"/>
    <mergeCell ref="J4:L4"/>
    <mergeCell ref="N4:P4"/>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105D3-1AAD-0D47-80E9-1B6B2A033276}">
  <dimension ref="A3:E132"/>
  <sheetViews>
    <sheetView workbookViewId="0">
      <selection activeCell="E107" sqref="E107"/>
    </sheetView>
  </sheetViews>
  <sheetFormatPr baseColWidth="10" defaultRowHeight="15" x14ac:dyDescent="0.2"/>
  <cols>
    <col min="1" max="1" width="12.1640625" bestFit="1" customWidth="1"/>
    <col min="2" max="3" width="17.1640625" bestFit="1" customWidth="1"/>
    <col min="4" max="4" width="12.1640625" bestFit="1" customWidth="1"/>
    <col min="5" max="6" width="17.1640625" bestFit="1" customWidth="1"/>
    <col min="7" max="7" width="9.83203125" bestFit="1" customWidth="1"/>
    <col min="8" max="8" width="8.1640625" bestFit="1" customWidth="1"/>
    <col min="9" max="9" width="9.83203125" bestFit="1" customWidth="1"/>
    <col min="10" max="10" width="21" bestFit="1" customWidth="1"/>
    <col min="11" max="11" width="21.5" bestFit="1" customWidth="1"/>
  </cols>
  <sheetData>
    <row r="3" spans="1:5" x14ac:dyDescent="0.2">
      <c r="A3" s="27" t="s">
        <v>643</v>
      </c>
      <c r="B3" t="s">
        <v>645</v>
      </c>
      <c r="D3" s="27" t="s">
        <v>643</v>
      </c>
      <c r="E3" t="s">
        <v>645</v>
      </c>
    </row>
    <row r="4" spans="1:5" x14ac:dyDescent="0.2">
      <c r="A4" s="28" t="s">
        <v>16</v>
      </c>
      <c r="B4" s="29">
        <v>2559.02</v>
      </c>
      <c r="D4" s="28" t="s">
        <v>49</v>
      </c>
      <c r="E4" s="29">
        <v>2828.1199999999994</v>
      </c>
    </row>
    <row r="5" spans="1:5" x14ac:dyDescent="0.2">
      <c r="A5" s="28" t="s">
        <v>18</v>
      </c>
      <c r="B5" s="29">
        <v>2378.7200000000003</v>
      </c>
      <c r="D5" s="28" t="s">
        <v>35</v>
      </c>
      <c r="E5" s="29">
        <v>2599.6500000000005</v>
      </c>
    </row>
    <row r="6" spans="1:5" x14ac:dyDescent="0.2">
      <c r="A6" s="28" t="s">
        <v>22</v>
      </c>
      <c r="B6" s="29">
        <v>2129.9200000000005</v>
      </c>
      <c r="D6" s="28" t="s">
        <v>42</v>
      </c>
      <c r="E6" s="29">
        <v>2766.0800000000008</v>
      </c>
    </row>
    <row r="7" spans="1:5" x14ac:dyDescent="0.2">
      <c r="A7" s="28" t="s">
        <v>14</v>
      </c>
      <c r="B7" s="29">
        <v>1994.2199999999998</v>
      </c>
      <c r="D7" s="28" t="s">
        <v>53</v>
      </c>
      <c r="E7" s="29">
        <v>2665.5200000000004</v>
      </c>
    </row>
    <row r="8" spans="1:5" x14ac:dyDescent="0.2">
      <c r="A8" s="28" t="s">
        <v>20</v>
      </c>
      <c r="B8" s="29">
        <v>1797.4900000000002</v>
      </c>
      <c r="D8" s="28" t="s">
        <v>644</v>
      </c>
      <c r="E8" s="29">
        <v>10859.370000000003</v>
      </c>
    </row>
    <row r="9" spans="1:5" x14ac:dyDescent="0.2">
      <c r="A9" s="28" t="s">
        <v>644</v>
      </c>
      <c r="B9" s="29">
        <v>10859.37</v>
      </c>
    </row>
    <row r="12" spans="1:5" x14ac:dyDescent="0.2">
      <c r="A12" s="27" t="s">
        <v>643</v>
      </c>
      <c r="B12" t="s">
        <v>645</v>
      </c>
    </row>
    <row r="13" spans="1:5" x14ac:dyDescent="0.2">
      <c r="A13" s="28" t="s">
        <v>15</v>
      </c>
      <c r="B13" s="29">
        <v>1279.0099999999998</v>
      </c>
    </row>
    <row r="14" spans="1:5" x14ac:dyDescent="0.2">
      <c r="A14" s="28" t="s">
        <v>21</v>
      </c>
      <c r="B14" s="29">
        <v>2567.3399999999997</v>
      </c>
    </row>
    <row r="15" spans="1:5" x14ac:dyDescent="0.2">
      <c r="A15" s="28" t="s">
        <v>19</v>
      </c>
      <c r="B15" s="29">
        <v>1679.5599999999997</v>
      </c>
    </row>
    <row r="16" spans="1:5" x14ac:dyDescent="0.2">
      <c r="A16" s="28" t="s">
        <v>23</v>
      </c>
      <c r="B16" s="29">
        <v>4312.6100000000006</v>
      </c>
    </row>
    <row r="17" spans="1:2" x14ac:dyDescent="0.2">
      <c r="A17" s="28" t="s">
        <v>17</v>
      </c>
      <c r="B17" s="29">
        <v>1020.8499999999999</v>
      </c>
    </row>
    <row r="18" spans="1:2" x14ac:dyDescent="0.2">
      <c r="A18" s="28" t="s">
        <v>644</v>
      </c>
      <c r="B18" s="29">
        <v>10859.37</v>
      </c>
    </row>
    <row r="20" spans="1:2" x14ac:dyDescent="0.2">
      <c r="A20" s="27" t="s">
        <v>643</v>
      </c>
      <c r="B20" t="s">
        <v>645</v>
      </c>
    </row>
    <row r="21" spans="1:2" x14ac:dyDescent="0.2">
      <c r="A21" s="28" t="s">
        <v>48</v>
      </c>
      <c r="B21" s="29">
        <v>739.29000000000008</v>
      </c>
    </row>
    <row r="22" spans="1:2" x14ac:dyDescent="0.2">
      <c r="A22" s="28" t="s">
        <v>98</v>
      </c>
      <c r="B22" s="29">
        <v>638.52</v>
      </c>
    </row>
    <row r="23" spans="1:2" x14ac:dyDescent="0.2">
      <c r="A23" s="28" t="s">
        <v>38</v>
      </c>
      <c r="B23" s="29">
        <v>354.01</v>
      </c>
    </row>
    <row r="24" spans="1:2" x14ac:dyDescent="0.2">
      <c r="A24" s="28" t="s">
        <v>56</v>
      </c>
      <c r="B24" s="29">
        <v>733.59</v>
      </c>
    </row>
    <row r="25" spans="1:2" x14ac:dyDescent="0.2">
      <c r="A25" s="28" t="s">
        <v>69</v>
      </c>
      <c r="B25" s="29">
        <v>906.62000000000012</v>
      </c>
    </row>
    <row r="26" spans="1:2" x14ac:dyDescent="0.2">
      <c r="A26" s="28" t="s">
        <v>45</v>
      </c>
      <c r="B26" s="29">
        <v>424.02</v>
      </c>
    </row>
    <row r="27" spans="1:2" x14ac:dyDescent="0.2">
      <c r="A27" s="28" t="s">
        <v>79</v>
      </c>
      <c r="B27" s="29">
        <v>509.72000000000008</v>
      </c>
    </row>
    <row r="28" spans="1:2" x14ac:dyDescent="0.2">
      <c r="A28" s="28" t="s">
        <v>41</v>
      </c>
      <c r="B28" s="29">
        <v>634.17999999999995</v>
      </c>
    </row>
    <row r="29" spans="1:2" x14ac:dyDescent="0.2">
      <c r="A29" s="28" t="s">
        <v>52</v>
      </c>
      <c r="B29" s="29">
        <v>1040.8</v>
      </c>
    </row>
    <row r="30" spans="1:2" x14ac:dyDescent="0.2">
      <c r="A30" s="28" t="s">
        <v>72</v>
      </c>
      <c r="B30" s="29">
        <v>879.7</v>
      </c>
    </row>
    <row r="31" spans="1:2" x14ac:dyDescent="0.2">
      <c r="A31" s="28" t="s">
        <v>107</v>
      </c>
      <c r="B31" s="29">
        <v>1160.33</v>
      </c>
    </row>
    <row r="32" spans="1:2" x14ac:dyDescent="0.2">
      <c r="A32" s="28" t="s">
        <v>64</v>
      </c>
      <c r="B32" s="29">
        <v>1140.46</v>
      </c>
    </row>
    <row r="33" spans="1:2" x14ac:dyDescent="0.2">
      <c r="A33" s="28" t="s">
        <v>120</v>
      </c>
      <c r="B33" s="29">
        <v>459.86999999999989</v>
      </c>
    </row>
    <row r="34" spans="1:2" x14ac:dyDescent="0.2">
      <c r="A34" s="28" t="s">
        <v>34</v>
      </c>
      <c r="B34" s="29">
        <v>591.68000000000006</v>
      </c>
    </row>
    <row r="35" spans="1:2" x14ac:dyDescent="0.2">
      <c r="A35" s="28" t="s">
        <v>59</v>
      </c>
      <c r="B35" s="29">
        <v>646.58000000000004</v>
      </c>
    </row>
    <row r="36" spans="1:2" x14ac:dyDescent="0.2">
      <c r="A36" s="28" t="s">
        <v>644</v>
      </c>
      <c r="B36" s="29">
        <v>10859.37</v>
      </c>
    </row>
    <row r="38" spans="1:2" x14ac:dyDescent="0.2">
      <c r="A38" s="27" t="s">
        <v>643</v>
      </c>
      <c r="B38" t="s">
        <v>645</v>
      </c>
    </row>
    <row r="39" spans="1:2" x14ac:dyDescent="0.2">
      <c r="A39" s="28" t="s">
        <v>33</v>
      </c>
      <c r="B39" s="29">
        <v>25</v>
      </c>
    </row>
    <row r="40" spans="1:2" x14ac:dyDescent="0.2">
      <c r="A40" s="28" t="s">
        <v>37</v>
      </c>
      <c r="B40" s="29">
        <v>90.93</v>
      </c>
    </row>
    <row r="41" spans="1:2" x14ac:dyDescent="0.2">
      <c r="A41" s="28" t="s">
        <v>40</v>
      </c>
      <c r="B41" s="29">
        <v>16.96</v>
      </c>
    </row>
    <row r="42" spans="1:2" x14ac:dyDescent="0.2">
      <c r="A42" s="28" t="s">
        <v>44</v>
      </c>
      <c r="B42" s="29">
        <v>94.1</v>
      </c>
    </row>
    <row r="43" spans="1:2" x14ac:dyDescent="0.2">
      <c r="A43" s="28" t="s">
        <v>47</v>
      </c>
      <c r="B43" s="29">
        <v>47.46</v>
      </c>
    </row>
    <row r="44" spans="1:2" x14ac:dyDescent="0.2">
      <c r="A44" s="28" t="s">
        <v>51</v>
      </c>
      <c r="B44" s="29">
        <v>34.58</v>
      </c>
    </row>
    <row r="45" spans="1:2" x14ac:dyDescent="0.2">
      <c r="A45" s="28" t="s">
        <v>55</v>
      </c>
      <c r="B45" s="29">
        <v>49.2</v>
      </c>
    </row>
    <row r="46" spans="1:2" x14ac:dyDescent="0.2">
      <c r="A46" s="28" t="s">
        <v>58</v>
      </c>
      <c r="B46" s="29">
        <v>44.4</v>
      </c>
    </row>
    <row r="47" spans="1:2" x14ac:dyDescent="0.2">
      <c r="A47" s="28" t="s">
        <v>61</v>
      </c>
      <c r="B47" s="29">
        <v>26.85</v>
      </c>
    </row>
    <row r="48" spans="1:2" x14ac:dyDescent="0.2">
      <c r="A48" s="28" t="s">
        <v>63</v>
      </c>
      <c r="B48" s="29">
        <v>60.72</v>
      </c>
    </row>
    <row r="49" spans="1:2" x14ac:dyDescent="0.2">
      <c r="A49" s="28" t="s">
        <v>66</v>
      </c>
      <c r="B49" s="29">
        <v>30.8</v>
      </c>
    </row>
    <row r="50" spans="1:2" x14ac:dyDescent="0.2">
      <c r="A50" s="28" t="s">
        <v>68</v>
      </c>
      <c r="B50" s="29">
        <v>14.92</v>
      </c>
    </row>
    <row r="51" spans="1:2" x14ac:dyDescent="0.2">
      <c r="A51" s="28" t="s">
        <v>71</v>
      </c>
      <c r="B51" s="29">
        <v>71.52</v>
      </c>
    </row>
    <row r="52" spans="1:2" x14ac:dyDescent="0.2">
      <c r="A52" s="28" t="s">
        <v>74</v>
      </c>
      <c r="B52" s="29">
        <v>44.8</v>
      </c>
    </row>
    <row r="53" spans="1:2" x14ac:dyDescent="0.2">
      <c r="A53" s="28" t="s">
        <v>76</v>
      </c>
      <c r="B53" s="29">
        <v>30.64</v>
      </c>
    </row>
    <row r="54" spans="1:2" x14ac:dyDescent="0.2">
      <c r="A54" s="28" t="s">
        <v>78</v>
      </c>
      <c r="B54" s="29">
        <v>18.989999999999998</v>
      </c>
    </row>
    <row r="55" spans="1:2" x14ac:dyDescent="0.2">
      <c r="A55" s="28" t="s">
        <v>81</v>
      </c>
      <c r="B55" s="29">
        <v>108.22</v>
      </c>
    </row>
    <row r="56" spans="1:2" x14ac:dyDescent="0.2">
      <c r="A56" s="28" t="s">
        <v>83</v>
      </c>
      <c r="B56" s="29">
        <v>7.04</v>
      </c>
    </row>
    <row r="57" spans="1:2" x14ac:dyDescent="0.2">
      <c r="A57" s="28" t="s">
        <v>85</v>
      </c>
      <c r="B57" s="29">
        <v>16.68</v>
      </c>
    </row>
    <row r="58" spans="1:2" x14ac:dyDescent="0.2">
      <c r="A58" s="28" t="s">
        <v>87</v>
      </c>
      <c r="B58" s="29">
        <v>17.850000000000001</v>
      </c>
    </row>
    <row r="59" spans="1:2" x14ac:dyDescent="0.2">
      <c r="A59" s="28" t="s">
        <v>89</v>
      </c>
      <c r="B59" s="29">
        <v>12.96</v>
      </c>
    </row>
    <row r="60" spans="1:2" x14ac:dyDescent="0.2">
      <c r="A60" s="28" t="s">
        <v>91</v>
      </c>
      <c r="B60" s="29">
        <v>21.51</v>
      </c>
    </row>
    <row r="61" spans="1:2" x14ac:dyDescent="0.2">
      <c r="A61" s="28" t="s">
        <v>93</v>
      </c>
      <c r="B61" s="29">
        <v>55.6</v>
      </c>
    </row>
    <row r="62" spans="1:2" x14ac:dyDescent="0.2">
      <c r="A62" s="28" t="s">
        <v>95</v>
      </c>
      <c r="B62" s="29">
        <v>36.119999999999997</v>
      </c>
    </row>
    <row r="63" spans="1:2" x14ac:dyDescent="0.2">
      <c r="A63" s="28" t="s">
        <v>97</v>
      </c>
      <c r="B63" s="29">
        <v>3.88</v>
      </c>
    </row>
    <row r="64" spans="1:2" x14ac:dyDescent="0.2">
      <c r="A64" s="28" t="s">
        <v>100</v>
      </c>
      <c r="B64" s="29">
        <v>21.42</v>
      </c>
    </row>
    <row r="65" spans="1:2" x14ac:dyDescent="0.2">
      <c r="A65" s="28" t="s">
        <v>102</v>
      </c>
      <c r="B65" s="29">
        <v>23.58</v>
      </c>
    </row>
    <row r="66" spans="1:2" x14ac:dyDescent="0.2">
      <c r="A66" s="28" t="s">
        <v>104</v>
      </c>
      <c r="B66" s="29">
        <v>21</v>
      </c>
    </row>
    <row r="67" spans="1:2" x14ac:dyDescent="0.2">
      <c r="A67" s="28" t="s">
        <v>106</v>
      </c>
      <c r="B67" s="29">
        <v>15.58</v>
      </c>
    </row>
    <row r="68" spans="1:2" x14ac:dyDescent="0.2">
      <c r="A68" s="28" t="s">
        <v>109</v>
      </c>
      <c r="B68" s="29">
        <v>68.64</v>
      </c>
    </row>
    <row r="69" spans="1:2" x14ac:dyDescent="0.2">
      <c r="A69" s="28" t="s">
        <v>111</v>
      </c>
      <c r="B69" s="29">
        <v>19.440000000000001</v>
      </c>
    </row>
    <row r="70" spans="1:2" x14ac:dyDescent="0.2">
      <c r="A70" s="28" t="s">
        <v>113</v>
      </c>
      <c r="B70" s="29">
        <v>59.36</v>
      </c>
    </row>
    <row r="71" spans="1:2" x14ac:dyDescent="0.2">
      <c r="A71" s="28" t="s">
        <v>115</v>
      </c>
      <c r="B71" s="29">
        <v>31.12</v>
      </c>
    </row>
    <row r="72" spans="1:2" x14ac:dyDescent="0.2">
      <c r="A72" s="28" t="s">
        <v>117</v>
      </c>
      <c r="B72" s="29">
        <v>12.98</v>
      </c>
    </row>
    <row r="73" spans="1:2" x14ac:dyDescent="0.2">
      <c r="A73" s="28" t="s">
        <v>119</v>
      </c>
      <c r="B73" s="29">
        <v>9.49</v>
      </c>
    </row>
    <row r="74" spans="1:2" x14ac:dyDescent="0.2">
      <c r="A74" s="28" t="s">
        <v>122</v>
      </c>
      <c r="B74" s="29">
        <v>12.66</v>
      </c>
    </row>
    <row r="75" spans="1:2" x14ac:dyDescent="0.2">
      <c r="A75" s="28" t="s">
        <v>124</v>
      </c>
      <c r="B75" s="29">
        <v>26.39</v>
      </c>
    </row>
    <row r="76" spans="1:2" x14ac:dyDescent="0.2">
      <c r="A76" s="28" t="s">
        <v>126</v>
      </c>
      <c r="B76" s="29">
        <v>14</v>
      </c>
    </row>
    <row r="77" spans="1:2" x14ac:dyDescent="0.2">
      <c r="A77" s="28" t="s">
        <v>128</v>
      </c>
      <c r="B77" s="29">
        <v>30.59</v>
      </c>
    </row>
    <row r="78" spans="1:2" x14ac:dyDescent="0.2">
      <c r="A78" s="28" t="s">
        <v>130</v>
      </c>
      <c r="B78" s="29">
        <v>23.8</v>
      </c>
    </row>
    <row r="79" spans="1:2" x14ac:dyDescent="0.2">
      <c r="A79" s="28" t="s">
        <v>132</v>
      </c>
      <c r="B79" s="29">
        <v>54.53</v>
      </c>
    </row>
    <row r="80" spans="1:2" x14ac:dyDescent="0.2">
      <c r="A80" s="28" t="s">
        <v>134</v>
      </c>
      <c r="B80" s="29">
        <v>34.68</v>
      </c>
    </row>
    <row r="81" spans="1:2" x14ac:dyDescent="0.2">
      <c r="A81" s="28" t="s">
        <v>136</v>
      </c>
      <c r="B81" s="29">
        <v>48.48</v>
      </c>
    </row>
    <row r="82" spans="1:2" x14ac:dyDescent="0.2">
      <c r="A82" s="28" t="s">
        <v>138</v>
      </c>
      <c r="B82" s="29">
        <v>14.58</v>
      </c>
    </row>
    <row r="83" spans="1:2" x14ac:dyDescent="0.2">
      <c r="A83" s="28" t="s">
        <v>140</v>
      </c>
      <c r="B83" s="29">
        <v>25.08</v>
      </c>
    </row>
    <row r="84" spans="1:2" x14ac:dyDescent="0.2">
      <c r="A84" s="28" t="s">
        <v>142</v>
      </c>
      <c r="B84" s="29">
        <v>63.24</v>
      </c>
    </row>
    <row r="85" spans="1:2" x14ac:dyDescent="0.2">
      <c r="A85" s="28" t="s">
        <v>144</v>
      </c>
      <c r="B85" s="29">
        <v>41.65</v>
      </c>
    </row>
    <row r="86" spans="1:2" x14ac:dyDescent="0.2">
      <c r="A86" s="28" t="s">
        <v>146</v>
      </c>
      <c r="B86" s="29">
        <v>5.94</v>
      </c>
    </row>
    <row r="87" spans="1:2" x14ac:dyDescent="0.2">
      <c r="A87" s="28" t="s">
        <v>148</v>
      </c>
      <c r="B87" s="29">
        <v>18.3</v>
      </c>
    </row>
    <row r="88" spans="1:2" x14ac:dyDescent="0.2">
      <c r="A88" s="28" t="s">
        <v>150</v>
      </c>
      <c r="B88" s="29">
        <v>30.2</v>
      </c>
    </row>
    <row r="89" spans="1:2" x14ac:dyDescent="0.2">
      <c r="A89" s="28" t="s">
        <v>152</v>
      </c>
      <c r="B89" s="29">
        <v>17.760000000000002</v>
      </c>
    </row>
    <row r="90" spans="1:2" x14ac:dyDescent="0.2">
      <c r="A90" s="28" t="s">
        <v>154</v>
      </c>
      <c r="B90" s="29">
        <v>16.84</v>
      </c>
    </row>
    <row r="91" spans="1:2" x14ac:dyDescent="0.2">
      <c r="A91" s="28" t="s">
        <v>156</v>
      </c>
      <c r="B91" s="29">
        <v>72.52</v>
      </c>
    </row>
    <row r="92" spans="1:2" x14ac:dyDescent="0.2">
      <c r="A92" s="28" t="s">
        <v>158</v>
      </c>
      <c r="B92" s="29">
        <v>52.1</v>
      </c>
    </row>
    <row r="93" spans="1:2" x14ac:dyDescent="0.2">
      <c r="A93" s="28" t="s">
        <v>160</v>
      </c>
      <c r="B93" s="29">
        <v>34.9</v>
      </c>
    </row>
    <row r="94" spans="1:2" x14ac:dyDescent="0.2">
      <c r="A94" s="28" t="s">
        <v>162</v>
      </c>
      <c r="B94" s="29">
        <v>23.79</v>
      </c>
    </row>
    <row r="95" spans="1:2" x14ac:dyDescent="0.2">
      <c r="A95" s="28" t="s">
        <v>164</v>
      </c>
      <c r="B95" s="29">
        <v>14.54</v>
      </c>
    </row>
    <row r="96" spans="1:2" x14ac:dyDescent="0.2">
      <c r="A96" s="28" t="s">
        <v>166</v>
      </c>
      <c r="B96" s="29">
        <v>20.76</v>
      </c>
    </row>
    <row r="97" spans="1:2" x14ac:dyDescent="0.2">
      <c r="A97" s="28" t="s">
        <v>168</v>
      </c>
      <c r="B97" s="29">
        <v>31.5</v>
      </c>
    </row>
    <row r="98" spans="1:2" x14ac:dyDescent="0.2">
      <c r="A98" s="28" t="s">
        <v>170</v>
      </c>
      <c r="B98" s="29">
        <v>140.35</v>
      </c>
    </row>
    <row r="99" spans="1:2" x14ac:dyDescent="0.2">
      <c r="A99" s="28" t="s">
        <v>172</v>
      </c>
      <c r="B99" s="29">
        <v>24.15</v>
      </c>
    </row>
    <row r="100" spans="1:2" x14ac:dyDescent="0.2">
      <c r="A100" s="28" t="s">
        <v>174</v>
      </c>
      <c r="B100" s="29">
        <v>18.600000000000001</v>
      </c>
    </row>
    <row r="101" spans="1:2" x14ac:dyDescent="0.2">
      <c r="A101" s="28" t="s">
        <v>176</v>
      </c>
      <c r="B101" s="29">
        <v>30.4</v>
      </c>
    </row>
    <row r="102" spans="1:2" x14ac:dyDescent="0.2">
      <c r="A102" s="28" t="s">
        <v>178</v>
      </c>
      <c r="B102" s="29">
        <v>13.8</v>
      </c>
    </row>
    <row r="103" spans="1:2" x14ac:dyDescent="0.2">
      <c r="A103" s="28" t="s">
        <v>180</v>
      </c>
      <c r="B103" s="29">
        <v>17.34</v>
      </c>
    </row>
    <row r="104" spans="1:2" x14ac:dyDescent="0.2">
      <c r="A104" s="28" t="s">
        <v>182</v>
      </c>
      <c r="B104" s="29">
        <v>124.95</v>
      </c>
    </row>
    <row r="105" spans="1:2" x14ac:dyDescent="0.2">
      <c r="A105" s="28" t="s">
        <v>184</v>
      </c>
      <c r="B105" s="29">
        <v>22.23</v>
      </c>
    </row>
    <row r="106" spans="1:2" x14ac:dyDescent="0.2">
      <c r="A106" s="28" t="s">
        <v>186</v>
      </c>
      <c r="B106" s="29">
        <v>107.38</v>
      </c>
    </row>
    <row r="107" spans="1:2" x14ac:dyDescent="0.2">
      <c r="A107" s="28" t="s">
        <v>188</v>
      </c>
      <c r="B107" s="29">
        <v>31.28</v>
      </c>
    </row>
    <row r="108" spans="1:2" x14ac:dyDescent="0.2">
      <c r="A108" s="28" t="s">
        <v>190</v>
      </c>
      <c r="B108" s="29">
        <v>8.8800000000000008</v>
      </c>
    </row>
    <row r="109" spans="1:2" x14ac:dyDescent="0.2">
      <c r="A109" s="28" t="s">
        <v>192</v>
      </c>
      <c r="B109" s="29">
        <v>38.340000000000003</v>
      </c>
    </row>
    <row r="110" spans="1:2" x14ac:dyDescent="0.2">
      <c r="A110" s="28" t="s">
        <v>194</v>
      </c>
      <c r="B110" s="29">
        <v>46.13</v>
      </c>
    </row>
    <row r="111" spans="1:2" x14ac:dyDescent="0.2">
      <c r="A111" s="28" t="s">
        <v>196</v>
      </c>
      <c r="B111" s="29">
        <v>33.11</v>
      </c>
    </row>
    <row r="112" spans="1:2" x14ac:dyDescent="0.2">
      <c r="A112" s="28" t="s">
        <v>198</v>
      </c>
      <c r="B112" s="29">
        <v>79</v>
      </c>
    </row>
    <row r="113" spans="1:2" x14ac:dyDescent="0.2">
      <c r="A113" s="28" t="s">
        <v>200</v>
      </c>
      <c r="B113" s="29">
        <v>34.79</v>
      </c>
    </row>
    <row r="114" spans="1:2" x14ac:dyDescent="0.2">
      <c r="A114" s="28" t="s">
        <v>202</v>
      </c>
      <c r="B114" s="29">
        <v>35.36</v>
      </c>
    </row>
    <row r="115" spans="1:2" x14ac:dyDescent="0.2">
      <c r="A115" s="28" t="s">
        <v>204</v>
      </c>
      <c r="B115" s="29">
        <v>80.7</v>
      </c>
    </row>
    <row r="116" spans="1:2" x14ac:dyDescent="0.2">
      <c r="A116" s="28" t="s">
        <v>206</v>
      </c>
      <c r="B116" s="29">
        <v>10.35</v>
      </c>
    </row>
    <row r="117" spans="1:2" x14ac:dyDescent="0.2">
      <c r="A117" s="28" t="s">
        <v>208</v>
      </c>
      <c r="B117" s="29">
        <v>46.48</v>
      </c>
    </row>
    <row r="118" spans="1:2" x14ac:dyDescent="0.2">
      <c r="A118" s="28" t="s">
        <v>210</v>
      </c>
      <c r="B118" s="29">
        <v>29.56</v>
      </c>
    </row>
    <row r="119" spans="1:2" x14ac:dyDescent="0.2">
      <c r="A119" s="28" t="s">
        <v>212</v>
      </c>
      <c r="B119" s="29">
        <v>15.03</v>
      </c>
    </row>
    <row r="120" spans="1:2" x14ac:dyDescent="0.2">
      <c r="A120" s="28" t="s">
        <v>214</v>
      </c>
      <c r="B120" s="29">
        <v>8.6199999999999992</v>
      </c>
    </row>
    <row r="121" spans="1:2" x14ac:dyDescent="0.2">
      <c r="A121" s="28" t="s">
        <v>216</v>
      </c>
      <c r="B121" s="29">
        <v>119.28</v>
      </c>
    </row>
    <row r="122" spans="1:2" x14ac:dyDescent="0.2">
      <c r="A122" s="28" t="s">
        <v>218</v>
      </c>
      <c r="B122" s="29">
        <v>132.86000000000001</v>
      </c>
    </row>
    <row r="123" spans="1:2" x14ac:dyDescent="0.2">
      <c r="A123" s="28" t="s">
        <v>220</v>
      </c>
      <c r="B123" s="29">
        <v>62.72</v>
      </c>
    </row>
    <row r="124" spans="1:2" x14ac:dyDescent="0.2">
      <c r="A124" s="28" t="s">
        <v>222</v>
      </c>
      <c r="B124" s="29">
        <v>31.6</v>
      </c>
    </row>
    <row r="125" spans="1:2" x14ac:dyDescent="0.2">
      <c r="A125" s="28" t="s">
        <v>224</v>
      </c>
      <c r="B125" s="29">
        <v>39.36</v>
      </c>
    </row>
    <row r="126" spans="1:2" x14ac:dyDescent="0.2">
      <c r="A126" s="28" t="s">
        <v>226</v>
      </c>
      <c r="B126" s="29">
        <v>33.53</v>
      </c>
    </row>
    <row r="127" spans="1:2" x14ac:dyDescent="0.2">
      <c r="A127" s="28" t="s">
        <v>228</v>
      </c>
      <c r="B127" s="29">
        <v>53.82</v>
      </c>
    </row>
    <row r="128" spans="1:2" x14ac:dyDescent="0.2">
      <c r="A128" s="28" t="s">
        <v>230</v>
      </c>
      <c r="B128" s="29">
        <v>72.94</v>
      </c>
    </row>
    <row r="129" spans="1:2" x14ac:dyDescent="0.2">
      <c r="A129" s="28" t="s">
        <v>232</v>
      </c>
      <c r="B129" s="29">
        <v>10.57</v>
      </c>
    </row>
    <row r="130" spans="1:2" x14ac:dyDescent="0.2">
      <c r="A130" s="28" t="s">
        <v>234</v>
      </c>
      <c r="B130" s="29">
        <v>65.64</v>
      </c>
    </row>
    <row r="131" spans="1:2" x14ac:dyDescent="0.2">
      <c r="A131" s="28" t="s">
        <v>236</v>
      </c>
      <c r="B131" s="29">
        <v>39.200000000000003</v>
      </c>
    </row>
    <row r="132" spans="1:2" x14ac:dyDescent="0.2">
      <c r="A132" s="28" t="s">
        <v>644</v>
      </c>
      <c r="B132" s="29">
        <v>3651.5200000000009</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3932"/>
  </sheetPr>
  <dimension ref="A1:I282"/>
  <sheetViews>
    <sheetView showGridLines="0" zoomScaleNormal="100" workbookViewId="0">
      <pane ySplit="3" topLeftCell="A271" activePane="bottomLeft" state="frozen"/>
      <selection pane="bottomLeft" activeCell="A3" sqref="A3:I282"/>
    </sheetView>
  </sheetViews>
  <sheetFormatPr baseColWidth="10" defaultColWidth="8.6640625" defaultRowHeight="15" x14ac:dyDescent="0.2"/>
  <cols>
    <col min="1" max="1" width="19.33203125" customWidth="1"/>
    <col min="2" max="2" width="13" customWidth="1"/>
    <col min="3" max="3" width="14.83203125" customWidth="1"/>
    <col min="4" max="4" width="22" customWidth="1"/>
    <col min="5" max="5" width="15" customWidth="1"/>
    <col min="6" max="6" width="15.5" customWidth="1"/>
    <col min="7" max="7" width="18.6640625" customWidth="1"/>
    <col min="8" max="8" width="17.83203125" customWidth="1"/>
    <col min="9" max="9" width="17.5" customWidth="1"/>
  </cols>
  <sheetData>
    <row r="1" spans="1:9" ht="31.5" customHeight="1" x14ac:dyDescent="0.2">
      <c r="A1" s="69" t="s">
        <v>24</v>
      </c>
      <c r="B1" s="69"/>
      <c r="C1" s="69"/>
      <c r="D1" s="69"/>
      <c r="E1" s="69"/>
      <c r="F1" s="69"/>
      <c r="G1" s="69"/>
      <c r="H1" s="69"/>
      <c r="I1" s="69"/>
    </row>
    <row r="2" spans="1:9" ht="18" customHeight="1" x14ac:dyDescent="0.2">
      <c r="A2" s="70"/>
      <c r="B2" s="70"/>
      <c r="C2" s="70"/>
      <c r="D2" s="70"/>
      <c r="E2" s="70"/>
      <c r="F2" s="70"/>
      <c r="G2" s="70"/>
      <c r="H2" s="70"/>
      <c r="I2" s="70"/>
    </row>
    <row r="3" spans="1:9" ht="21.75" customHeight="1" x14ac:dyDescent="0.2">
      <c r="A3" s="1" t="s">
        <v>25</v>
      </c>
      <c r="B3" s="1" t="s">
        <v>26</v>
      </c>
      <c r="C3" s="1" t="s">
        <v>7</v>
      </c>
      <c r="D3" s="1" t="s">
        <v>27</v>
      </c>
      <c r="E3" s="1" t="s">
        <v>11</v>
      </c>
      <c r="F3" s="1" t="s">
        <v>28</v>
      </c>
      <c r="G3" s="1" t="s">
        <v>29</v>
      </c>
      <c r="H3" s="1" t="s">
        <v>30</v>
      </c>
      <c r="I3" s="1" t="s">
        <v>31</v>
      </c>
    </row>
    <row r="4" spans="1:9" x14ac:dyDescent="0.2">
      <c r="A4" s="2" t="s">
        <v>32</v>
      </c>
      <c r="B4" s="2" t="s">
        <v>33</v>
      </c>
      <c r="C4" s="2" t="s">
        <v>18</v>
      </c>
      <c r="D4" s="2" t="s">
        <v>34</v>
      </c>
      <c r="E4" s="2" t="s">
        <v>19</v>
      </c>
      <c r="F4" s="3">
        <v>4</v>
      </c>
      <c r="G4" s="4">
        <v>6.25</v>
      </c>
      <c r="H4" s="4">
        <v>25</v>
      </c>
      <c r="I4" s="2" t="s">
        <v>35</v>
      </c>
    </row>
    <row r="5" spans="1:9" x14ac:dyDescent="0.2">
      <c r="A5" s="5" t="s">
        <v>36</v>
      </c>
      <c r="B5" s="5" t="s">
        <v>37</v>
      </c>
      <c r="C5" s="5" t="s">
        <v>14</v>
      </c>
      <c r="D5" s="5" t="s">
        <v>38</v>
      </c>
      <c r="E5" s="5" t="s">
        <v>23</v>
      </c>
      <c r="F5" s="6">
        <v>7</v>
      </c>
      <c r="G5" s="7">
        <v>12.99</v>
      </c>
      <c r="H5" s="7">
        <v>90.93</v>
      </c>
      <c r="I5" s="5" t="s">
        <v>35</v>
      </c>
    </row>
    <row r="6" spans="1:9" x14ac:dyDescent="0.2">
      <c r="A6" s="2" t="s">
        <v>39</v>
      </c>
      <c r="B6" s="2" t="s">
        <v>40</v>
      </c>
      <c r="C6" s="2" t="s">
        <v>20</v>
      </c>
      <c r="D6" s="2" t="s">
        <v>41</v>
      </c>
      <c r="E6" s="2" t="s">
        <v>23</v>
      </c>
      <c r="F6" s="3">
        <v>1</v>
      </c>
      <c r="G6" s="4">
        <v>16.96</v>
      </c>
      <c r="H6" s="4">
        <v>16.96</v>
      </c>
      <c r="I6" s="2" t="s">
        <v>42</v>
      </c>
    </row>
    <row r="7" spans="1:9" x14ac:dyDescent="0.2">
      <c r="A7" s="5" t="s">
        <v>43</v>
      </c>
      <c r="B7" s="5" t="s">
        <v>44</v>
      </c>
      <c r="C7" s="5" t="s">
        <v>20</v>
      </c>
      <c r="D7" s="5" t="s">
        <v>45</v>
      </c>
      <c r="E7" s="5" t="s">
        <v>23</v>
      </c>
      <c r="F7" s="6">
        <v>5</v>
      </c>
      <c r="G7" s="7">
        <v>18.82</v>
      </c>
      <c r="H7" s="7">
        <v>94.1</v>
      </c>
      <c r="I7" s="5" t="s">
        <v>35</v>
      </c>
    </row>
    <row r="8" spans="1:9" x14ac:dyDescent="0.2">
      <c r="A8" s="2" t="s">
        <v>46</v>
      </c>
      <c r="B8" s="2" t="s">
        <v>47</v>
      </c>
      <c r="C8" s="2" t="s">
        <v>20</v>
      </c>
      <c r="D8" s="2" t="s">
        <v>48</v>
      </c>
      <c r="E8" s="2" t="s">
        <v>21</v>
      </c>
      <c r="F8" s="3">
        <v>6</v>
      </c>
      <c r="G8" s="4">
        <v>7.91</v>
      </c>
      <c r="H8" s="4">
        <v>47.46</v>
      </c>
      <c r="I8" s="2" t="s">
        <v>49</v>
      </c>
    </row>
    <row r="9" spans="1:9" x14ac:dyDescent="0.2">
      <c r="A9" s="5" t="s">
        <v>50</v>
      </c>
      <c r="B9" s="5" t="s">
        <v>51</v>
      </c>
      <c r="C9" s="5" t="s">
        <v>16</v>
      </c>
      <c r="D9" s="5" t="s">
        <v>52</v>
      </c>
      <c r="E9" s="5" t="s">
        <v>15</v>
      </c>
      <c r="F9" s="6">
        <v>7</v>
      </c>
      <c r="G9" s="7">
        <v>4.9400000000000004</v>
      </c>
      <c r="H9" s="7">
        <v>34.58</v>
      </c>
      <c r="I9" s="5" t="s">
        <v>53</v>
      </c>
    </row>
    <row r="10" spans="1:9" x14ac:dyDescent="0.2">
      <c r="A10" s="2" t="s">
        <v>54</v>
      </c>
      <c r="B10" s="2" t="s">
        <v>55</v>
      </c>
      <c r="C10" s="2" t="s">
        <v>14</v>
      </c>
      <c r="D10" s="2" t="s">
        <v>56</v>
      </c>
      <c r="E10" s="2" t="s">
        <v>15</v>
      </c>
      <c r="F10" s="3">
        <v>8</v>
      </c>
      <c r="G10" s="4">
        <v>6.15</v>
      </c>
      <c r="H10" s="4">
        <v>49.2</v>
      </c>
      <c r="I10" s="2" t="s">
        <v>42</v>
      </c>
    </row>
    <row r="11" spans="1:9" x14ac:dyDescent="0.2">
      <c r="A11" s="5" t="s">
        <v>57</v>
      </c>
      <c r="B11" s="5" t="s">
        <v>58</v>
      </c>
      <c r="C11" s="5" t="s">
        <v>18</v>
      </c>
      <c r="D11" s="5" t="s">
        <v>59</v>
      </c>
      <c r="E11" s="5" t="s">
        <v>19</v>
      </c>
      <c r="F11" s="6">
        <v>6</v>
      </c>
      <c r="G11" s="7">
        <v>7.4</v>
      </c>
      <c r="H11" s="7">
        <v>44.4</v>
      </c>
      <c r="I11" s="5" t="s">
        <v>35</v>
      </c>
    </row>
    <row r="12" spans="1:9" x14ac:dyDescent="0.2">
      <c r="A12" s="2" t="s">
        <v>60</v>
      </c>
      <c r="B12" s="2" t="s">
        <v>61</v>
      </c>
      <c r="C12" s="2" t="s">
        <v>18</v>
      </c>
      <c r="D12" s="2" t="s">
        <v>59</v>
      </c>
      <c r="E12" s="2" t="s">
        <v>17</v>
      </c>
      <c r="F12" s="3">
        <v>5</v>
      </c>
      <c r="G12" s="4">
        <v>5.37</v>
      </c>
      <c r="H12" s="4">
        <v>26.85</v>
      </c>
      <c r="I12" s="2" t="s">
        <v>49</v>
      </c>
    </row>
    <row r="13" spans="1:9" x14ac:dyDescent="0.2">
      <c r="A13" s="5" t="s">
        <v>62</v>
      </c>
      <c r="B13" s="5" t="s">
        <v>63</v>
      </c>
      <c r="C13" s="5" t="s">
        <v>18</v>
      </c>
      <c r="D13" s="5" t="s">
        <v>64</v>
      </c>
      <c r="E13" s="5" t="s">
        <v>19</v>
      </c>
      <c r="F13" s="6">
        <v>8</v>
      </c>
      <c r="G13" s="7">
        <v>7.59</v>
      </c>
      <c r="H13" s="7">
        <v>60.72</v>
      </c>
      <c r="I13" s="5" t="s">
        <v>53</v>
      </c>
    </row>
    <row r="14" spans="1:9" x14ac:dyDescent="0.2">
      <c r="A14" s="2" t="s">
        <v>65</v>
      </c>
      <c r="B14" s="2" t="s">
        <v>66</v>
      </c>
      <c r="C14" s="2" t="s">
        <v>20</v>
      </c>
      <c r="D14" s="2" t="s">
        <v>45</v>
      </c>
      <c r="E14" s="2" t="s">
        <v>19</v>
      </c>
      <c r="F14" s="3">
        <v>4</v>
      </c>
      <c r="G14" s="4">
        <v>7.7</v>
      </c>
      <c r="H14" s="4">
        <v>30.8</v>
      </c>
      <c r="I14" s="2" t="s">
        <v>35</v>
      </c>
    </row>
    <row r="15" spans="1:9" x14ac:dyDescent="0.2">
      <c r="A15" s="5" t="s">
        <v>67</v>
      </c>
      <c r="B15" s="5" t="s">
        <v>68</v>
      </c>
      <c r="C15" s="5" t="s">
        <v>14</v>
      </c>
      <c r="D15" s="5" t="s">
        <v>69</v>
      </c>
      <c r="E15" s="5" t="s">
        <v>17</v>
      </c>
      <c r="F15" s="6">
        <v>4</v>
      </c>
      <c r="G15" s="7">
        <v>3.73</v>
      </c>
      <c r="H15" s="7">
        <v>14.92</v>
      </c>
      <c r="I15" s="5" t="s">
        <v>42</v>
      </c>
    </row>
    <row r="16" spans="1:9" x14ac:dyDescent="0.2">
      <c r="A16" s="2" t="s">
        <v>70</v>
      </c>
      <c r="B16" s="2" t="s">
        <v>71</v>
      </c>
      <c r="C16" s="2" t="s">
        <v>16</v>
      </c>
      <c r="D16" s="2" t="s">
        <v>72</v>
      </c>
      <c r="E16" s="2" t="s">
        <v>23</v>
      </c>
      <c r="F16" s="3">
        <v>4</v>
      </c>
      <c r="G16" s="4">
        <v>17.88</v>
      </c>
      <c r="H16" s="4">
        <v>71.52</v>
      </c>
      <c r="I16" s="2" t="s">
        <v>35</v>
      </c>
    </row>
    <row r="17" spans="1:9" x14ac:dyDescent="0.2">
      <c r="A17" s="5" t="s">
        <v>73</v>
      </c>
      <c r="B17" s="5" t="s">
        <v>74</v>
      </c>
      <c r="C17" s="5" t="s">
        <v>20</v>
      </c>
      <c r="D17" s="5" t="s">
        <v>41</v>
      </c>
      <c r="E17" s="5" t="s">
        <v>19</v>
      </c>
      <c r="F17" s="6">
        <v>7</v>
      </c>
      <c r="G17" s="7">
        <v>6.4</v>
      </c>
      <c r="H17" s="7">
        <v>44.8</v>
      </c>
      <c r="I17" s="5" t="s">
        <v>49</v>
      </c>
    </row>
    <row r="18" spans="1:9" x14ac:dyDescent="0.2">
      <c r="A18" s="2" t="s">
        <v>75</v>
      </c>
      <c r="B18" s="2" t="s">
        <v>76</v>
      </c>
      <c r="C18" s="2" t="s">
        <v>14</v>
      </c>
      <c r="D18" s="2" t="s">
        <v>69</v>
      </c>
      <c r="E18" s="2" t="s">
        <v>19</v>
      </c>
      <c r="F18" s="3">
        <v>4</v>
      </c>
      <c r="G18" s="4">
        <v>7.66</v>
      </c>
      <c r="H18" s="4">
        <v>30.64</v>
      </c>
      <c r="I18" s="2" t="s">
        <v>42</v>
      </c>
    </row>
    <row r="19" spans="1:9" x14ac:dyDescent="0.2">
      <c r="A19" s="5" t="s">
        <v>77</v>
      </c>
      <c r="B19" s="5" t="s">
        <v>78</v>
      </c>
      <c r="C19" s="5" t="s">
        <v>22</v>
      </c>
      <c r="D19" s="5" t="s">
        <v>79</v>
      </c>
      <c r="E19" s="5" t="s">
        <v>19</v>
      </c>
      <c r="F19" s="6">
        <v>3</v>
      </c>
      <c r="G19" s="7">
        <v>6.33</v>
      </c>
      <c r="H19" s="7">
        <v>18.989999999999998</v>
      </c>
      <c r="I19" s="5" t="s">
        <v>53</v>
      </c>
    </row>
    <row r="20" spans="1:9" x14ac:dyDescent="0.2">
      <c r="A20" s="2" t="s">
        <v>80</v>
      </c>
      <c r="B20" s="2" t="s">
        <v>81</v>
      </c>
      <c r="C20" s="2" t="s">
        <v>14</v>
      </c>
      <c r="D20" s="2" t="s">
        <v>56</v>
      </c>
      <c r="E20" s="2" t="s">
        <v>23</v>
      </c>
      <c r="F20" s="3">
        <v>7</v>
      </c>
      <c r="G20" s="4">
        <v>15.46</v>
      </c>
      <c r="H20" s="4">
        <v>108.22</v>
      </c>
      <c r="I20" s="2" t="s">
        <v>49</v>
      </c>
    </row>
    <row r="21" spans="1:9" x14ac:dyDescent="0.2">
      <c r="A21" s="5" t="s">
        <v>82</v>
      </c>
      <c r="B21" s="5" t="s">
        <v>83</v>
      </c>
      <c r="C21" s="5" t="s">
        <v>14</v>
      </c>
      <c r="D21" s="5" t="s">
        <v>56</v>
      </c>
      <c r="E21" s="5" t="s">
        <v>15</v>
      </c>
      <c r="F21" s="6">
        <v>1</v>
      </c>
      <c r="G21" s="7">
        <v>7.04</v>
      </c>
      <c r="H21" s="7">
        <v>7.04</v>
      </c>
      <c r="I21" s="5" t="s">
        <v>49</v>
      </c>
    </row>
    <row r="22" spans="1:9" x14ac:dyDescent="0.2">
      <c r="A22" s="2" t="s">
        <v>84</v>
      </c>
      <c r="B22" s="2" t="s">
        <v>85</v>
      </c>
      <c r="C22" s="2" t="s">
        <v>20</v>
      </c>
      <c r="D22" s="2" t="s">
        <v>48</v>
      </c>
      <c r="E22" s="2" t="s">
        <v>21</v>
      </c>
      <c r="F22" s="3">
        <v>2</v>
      </c>
      <c r="G22" s="4">
        <v>8.34</v>
      </c>
      <c r="H22" s="4">
        <v>16.68</v>
      </c>
      <c r="I22" s="2" t="s">
        <v>42</v>
      </c>
    </row>
    <row r="23" spans="1:9" x14ac:dyDescent="0.2">
      <c r="A23" s="5" t="s">
        <v>86</v>
      </c>
      <c r="B23" s="5" t="s">
        <v>87</v>
      </c>
      <c r="C23" s="5" t="s">
        <v>14</v>
      </c>
      <c r="D23" s="5" t="s">
        <v>56</v>
      </c>
      <c r="E23" s="5" t="s">
        <v>23</v>
      </c>
      <c r="F23" s="6">
        <v>1</v>
      </c>
      <c r="G23" s="7">
        <v>17.850000000000001</v>
      </c>
      <c r="H23" s="7">
        <v>17.850000000000001</v>
      </c>
      <c r="I23" s="5" t="s">
        <v>35</v>
      </c>
    </row>
    <row r="24" spans="1:9" x14ac:dyDescent="0.2">
      <c r="A24" s="2" t="s">
        <v>88</v>
      </c>
      <c r="B24" s="2" t="s">
        <v>89</v>
      </c>
      <c r="C24" s="2" t="s">
        <v>14</v>
      </c>
      <c r="D24" s="2" t="s">
        <v>56</v>
      </c>
      <c r="E24" s="2" t="s">
        <v>19</v>
      </c>
      <c r="F24" s="3">
        <v>2</v>
      </c>
      <c r="G24" s="4">
        <v>6.48</v>
      </c>
      <c r="H24" s="4">
        <v>12.96</v>
      </c>
      <c r="I24" s="2" t="s">
        <v>49</v>
      </c>
    </row>
    <row r="25" spans="1:9" x14ac:dyDescent="0.2">
      <c r="A25" s="5" t="s">
        <v>90</v>
      </c>
      <c r="B25" s="5" t="s">
        <v>91</v>
      </c>
      <c r="C25" s="5" t="s">
        <v>22</v>
      </c>
      <c r="D25" s="5" t="s">
        <v>79</v>
      </c>
      <c r="E25" s="5" t="s">
        <v>19</v>
      </c>
      <c r="F25" s="6">
        <v>3</v>
      </c>
      <c r="G25" s="7">
        <v>7.17</v>
      </c>
      <c r="H25" s="7">
        <v>21.51</v>
      </c>
      <c r="I25" s="5" t="s">
        <v>35</v>
      </c>
    </row>
    <row r="26" spans="1:9" x14ac:dyDescent="0.2">
      <c r="A26" s="2" t="s">
        <v>92</v>
      </c>
      <c r="B26" s="2" t="s">
        <v>93</v>
      </c>
      <c r="C26" s="2" t="s">
        <v>16</v>
      </c>
      <c r="D26" s="2" t="s">
        <v>72</v>
      </c>
      <c r="E26" s="2" t="s">
        <v>23</v>
      </c>
      <c r="F26" s="3">
        <v>4</v>
      </c>
      <c r="G26" s="4">
        <v>13.9</v>
      </c>
      <c r="H26" s="4">
        <v>55.6</v>
      </c>
      <c r="I26" s="2" t="s">
        <v>49</v>
      </c>
    </row>
    <row r="27" spans="1:9" x14ac:dyDescent="0.2">
      <c r="A27" s="5" t="s">
        <v>94</v>
      </c>
      <c r="B27" s="5" t="s">
        <v>95</v>
      </c>
      <c r="C27" s="5" t="s">
        <v>14</v>
      </c>
      <c r="D27" s="5" t="s">
        <v>69</v>
      </c>
      <c r="E27" s="5" t="s">
        <v>15</v>
      </c>
      <c r="F27" s="6">
        <v>6</v>
      </c>
      <c r="G27" s="7">
        <v>6.02</v>
      </c>
      <c r="H27" s="7">
        <v>36.119999999999997</v>
      </c>
      <c r="I27" s="5" t="s">
        <v>35</v>
      </c>
    </row>
    <row r="28" spans="1:9" x14ac:dyDescent="0.2">
      <c r="A28" s="2" t="s">
        <v>96</v>
      </c>
      <c r="B28" s="2" t="s">
        <v>97</v>
      </c>
      <c r="C28" s="2" t="s">
        <v>16</v>
      </c>
      <c r="D28" s="2" t="s">
        <v>98</v>
      </c>
      <c r="E28" s="2" t="s">
        <v>17</v>
      </c>
      <c r="F28" s="3">
        <v>1</v>
      </c>
      <c r="G28" s="4">
        <v>3.88</v>
      </c>
      <c r="H28" s="4">
        <v>3.88</v>
      </c>
      <c r="I28" s="2" t="s">
        <v>35</v>
      </c>
    </row>
    <row r="29" spans="1:9" x14ac:dyDescent="0.2">
      <c r="A29" s="5" t="s">
        <v>99</v>
      </c>
      <c r="B29" s="5" t="s">
        <v>100</v>
      </c>
      <c r="C29" s="5" t="s">
        <v>18</v>
      </c>
      <c r="D29" s="5" t="s">
        <v>59</v>
      </c>
      <c r="E29" s="5" t="s">
        <v>21</v>
      </c>
      <c r="F29" s="6">
        <v>2</v>
      </c>
      <c r="G29" s="7">
        <v>10.71</v>
      </c>
      <c r="H29" s="7">
        <v>21.42</v>
      </c>
      <c r="I29" s="5" t="s">
        <v>49</v>
      </c>
    </row>
    <row r="30" spans="1:9" x14ac:dyDescent="0.2">
      <c r="A30" s="2" t="s">
        <v>101</v>
      </c>
      <c r="B30" s="2" t="s">
        <v>102</v>
      </c>
      <c r="C30" s="2" t="s">
        <v>20</v>
      </c>
      <c r="D30" s="2" t="s">
        <v>48</v>
      </c>
      <c r="E30" s="2" t="s">
        <v>21</v>
      </c>
      <c r="F30" s="3">
        <v>3</v>
      </c>
      <c r="G30" s="4">
        <v>7.86</v>
      </c>
      <c r="H30" s="4">
        <v>23.58</v>
      </c>
      <c r="I30" s="2" t="s">
        <v>42</v>
      </c>
    </row>
    <row r="31" spans="1:9" x14ac:dyDescent="0.2">
      <c r="A31" s="5" t="s">
        <v>103</v>
      </c>
      <c r="B31" s="5" t="s">
        <v>104</v>
      </c>
      <c r="C31" s="5" t="s">
        <v>20</v>
      </c>
      <c r="D31" s="5" t="s">
        <v>48</v>
      </c>
      <c r="E31" s="5" t="s">
        <v>17</v>
      </c>
      <c r="F31" s="6">
        <v>5</v>
      </c>
      <c r="G31" s="7">
        <v>4.2</v>
      </c>
      <c r="H31" s="7">
        <v>21</v>
      </c>
      <c r="I31" s="5" t="s">
        <v>53</v>
      </c>
    </row>
    <row r="32" spans="1:9" x14ac:dyDescent="0.2">
      <c r="A32" s="2" t="s">
        <v>105</v>
      </c>
      <c r="B32" s="2" t="s">
        <v>106</v>
      </c>
      <c r="C32" s="2" t="s">
        <v>22</v>
      </c>
      <c r="D32" s="2" t="s">
        <v>107</v>
      </c>
      <c r="E32" s="2" t="s">
        <v>21</v>
      </c>
      <c r="F32" s="3">
        <v>2</v>
      </c>
      <c r="G32" s="4">
        <v>7.79</v>
      </c>
      <c r="H32" s="4">
        <v>15.58</v>
      </c>
      <c r="I32" s="2" t="s">
        <v>35</v>
      </c>
    </row>
    <row r="33" spans="1:9" x14ac:dyDescent="0.2">
      <c r="A33" s="5" t="s">
        <v>108</v>
      </c>
      <c r="B33" s="5" t="s">
        <v>109</v>
      </c>
      <c r="C33" s="5" t="s">
        <v>16</v>
      </c>
      <c r="D33" s="5" t="s">
        <v>52</v>
      </c>
      <c r="E33" s="5" t="s">
        <v>23</v>
      </c>
      <c r="F33" s="6">
        <v>4</v>
      </c>
      <c r="G33" s="7">
        <v>17.16</v>
      </c>
      <c r="H33" s="7">
        <v>68.64</v>
      </c>
      <c r="I33" s="5" t="s">
        <v>35</v>
      </c>
    </row>
    <row r="34" spans="1:9" x14ac:dyDescent="0.2">
      <c r="A34" s="2" t="s">
        <v>110</v>
      </c>
      <c r="B34" s="2" t="s">
        <v>111</v>
      </c>
      <c r="C34" s="2" t="s">
        <v>18</v>
      </c>
      <c r="D34" s="2" t="s">
        <v>59</v>
      </c>
      <c r="E34" s="2" t="s">
        <v>15</v>
      </c>
      <c r="F34" s="3">
        <v>4</v>
      </c>
      <c r="G34" s="4">
        <v>4.8600000000000003</v>
      </c>
      <c r="H34" s="4">
        <v>19.440000000000001</v>
      </c>
      <c r="I34" s="2" t="s">
        <v>35</v>
      </c>
    </row>
    <row r="35" spans="1:9" x14ac:dyDescent="0.2">
      <c r="A35" s="5" t="s">
        <v>112</v>
      </c>
      <c r="B35" s="5" t="s">
        <v>113</v>
      </c>
      <c r="C35" s="5" t="s">
        <v>16</v>
      </c>
      <c r="D35" s="5" t="s">
        <v>52</v>
      </c>
      <c r="E35" s="5" t="s">
        <v>23</v>
      </c>
      <c r="F35" s="6">
        <v>4</v>
      </c>
      <c r="G35" s="7">
        <v>14.84</v>
      </c>
      <c r="H35" s="7">
        <v>59.36</v>
      </c>
      <c r="I35" s="5" t="s">
        <v>42</v>
      </c>
    </row>
    <row r="36" spans="1:9" x14ac:dyDescent="0.2">
      <c r="A36" s="2" t="s">
        <v>114</v>
      </c>
      <c r="B36" s="2" t="s">
        <v>115</v>
      </c>
      <c r="C36" s="2" t="s">
        <v>20</v>
      </c>
      <c r="D36" s="2" t="s">
        <v>48</v>
      </c>
      <c r="E36" s="2" t="s">
        <v>17</v>
      </c>
      <c r="F36" s="3">
        <v>8</v>
      </c>
      <c r="G36" s="4">
        <v>3.89</v>
      </c>
      <c r="H36" s="4">
        <v>31.12</v>
      </c>
      <c r="I36" s="2" t="s">
        <v>42</v>
      </c>
    </row>
    <row r="37" spans="1:9" x14ac:dyDescent="0.2">
      <c r="A37" s="5" t="s">
        <v>116</v>
      </c>
      <c r="B37" s="5" t="s">
        <v>117</v>
      </c>
      <c r="C37" s="5" t="s">
        <v>22</v>
      </c>
      <c r="D37" s="5" t="s">
        <v>79</v>
      </c>
      <c r="E37" s="5" t="s">
        <v>15</v>
      </c>
      <c r="F37" s="6">
        <v>2</v>
      </c>
      <c r="G37" s="7">
        <v>6.49</v>
      </c>
      <c r="H37" s="7">
        <v>12.98</v>
      </c>
      <c r="I37" s="5" t="s">
        <v>53</v>
      </c>
    </row>
    <row r="38" spans="1:9" x14ac:dyDescent="0.2">
      <c r="A38" s="2" t="s">
        <v>118</v>
      </c>
      <c r="B38" s="2" t="s">
        <v>119</v>
      </c>
      <c r="C38" s="2" t="s">
        <v>22</v>
      </c>
      <c r="D38" s="2" t="s">
        <v>120</v>
      </c>
      <c r="E38" s="2" t="s">
        <v>21</v>
      </c>
      <c r="F38" s="3">
        <v>1</v>
      </c>
      <c r="G38" s="4">
        <v>9.49</v>
      </c>
      <c r="H38" s="4">
        <v>9.49</v>
      </c>
      <c r="I38" s="2" t="s">
        <v>35</v>
      </c>
    </row>
    <row r="39" spans="1:9" x14ac:dyDescent="0.2">
      <c r="A39" s="5" t="s">
        <v>121</v>
      </c>
      <c r="B39" s="5" t="s">
        <v>122</v>
      </c>
      <c r="C39" s="5" t="s">
        <v>18</v>
      </c>
      <c r="D39" s="5" t="s">
        <v>64</v>
      </c>
      <c r="E39" s="5" t="s">
        <v>19</v>
      </c>
      <c r="F39" s="6">
        <v>2</v>
      </c>
      <c r="G39" s="7">
        <v>6.33</v>
      </c>
      <c r="H39" s="7">
        <v>12.66</v>
      </c>
      <c r="I39" s="5" t="s">
        <v>49</v>
      </c>
    </row>
    <row r="40" spans="1:9" x14ac:dyDescent="0.2">
      <c r="A40" s="2" t="s">
        <v>123</v>
      </c>
      <c r="B40" s="2" t="s">
        <v>124</v>
      </c>
      <c r="C40" s="2" t="s">
        <v>14</v>
      </c>
      <c r="D40" s="2" t="s">
        <v>56</v>
      </c>
      <c r="E40" s="2" t="s">
        <v>17</v>
      </c>
      <c r="F40" s="3">
        <v>7</v>
      </c>
      <c r="G40" s="4">
        <v>3.77</v>
      </c>
      <c r="H40" s="4">
        <v>26.39</v>
      </c>
      <c r="I40" s="2" t="s">
        <v>42</v>
      </c>
    </row>
    <row r="41" spans="1:9" x14ac:dyDescent="0.2">
      <c r="A41" s="5" t="s">
        <v>125</v>
      </c>
      <c r="B41" s="5" t="s">
        <v>126</v>
      </c>
      <c r="C41" s="5" t="s">
        <v>20</v>
      </c>
      <c r="D41" s="5" t="s">
        <v>41</v>
      </c>
      <c r="E41" s="5" t="s">
        <v>21</v>
      </c>
      <c r="F41" s="6">
        <v>2</v>
      </c>
      <c r="G41" s="7">
        <v>7</v>
      </c>
      <c r="H41" s="7">
        <v>14</v>
      </c>
      <c r="I41" s="5" t="s">
        <v>35</v>
      </c>
    </row>
    <row r="42" spans="1:9" x14ac:dyDescent="0.2">
      <c r="A42" s="2" t="s">
        <v>127</v>
      </c>
      <c r="B42" s="2" t="s">
        <v>128</v>
      </c>
      <c r="C42" s="2" t="s">
        <v>18</v>
      </c>
      <c r="D42" s="2" t="s">
        <v>34</v>
      </c>
      <c r="E42" s="2" t="s">
        <v>17</v>
      </c>
      <c r="F42" s="3">
        <v>7</v>
      </c>
      <c r="G42" s="4">
        <v>4.37</v>
      </c>
      <c r="H42" s="4">
        <v>30.59</v>
      </c>
      <c r="I42" s="2" t="s">
        <v>49</v>
      </c>
    </row>
    <row r="43" spans="1:9" x14ac:dyDescent="0.2">
      <c r="A43" s="5" t="s">
        <v>129</v>
      </c>
      <c r="B43" s="5" t="s">
        <v>130</v>
      </c>
      <c r="C43" s="5" t="s">
        <v>22</v>
      </c>
      <c r="D43" s="5" t="s">
        <v>79</v>
      </c>
      <c r="E43" s="5" t="s">
        <v>17</v>
      </c>
      <c r="F43" s="6">
        <v>7</v>
      </c>
      <c r="G43" s="7">
        <v>3.4</v>
      </c>
      <c r="H43" s="7">
        <v>23.8</v>
      </c>
      <c r="I43" s="5" t="s">
        <v>42</v>
      </c>
    </row>
    <row r="44" spans="1:9" x14ac:dyDescent="0.2">
      <c r="A44" s="2" t="s">
        <v>131</v>
      </c>
      <c r="B44" s="2" t="s">
        <v>132</v>
      </c>
      <c r="C44" s="2" t="s">
        <v>16</v>
      </c>
      <c r="D44" s="2" t="s">
        <v>98</v>
      </c>
      <c r="E44" s="2" t="s">
        <v>19</v>
      </c>
      <c r="F44" s="3">
        <v>7</v>
      </c>
      <c r="G44" s="4">
        <v>7.79</v>
      </c>
      <c r="H44" s="4">
        <v>54.53</v>
      </c>
      <c r="I44" s="2" t="s">
        <v>42</v>
      </c>
    </row>
    <row r="45" spans="1:9" x14ac:dyDescent="0.2">
      <c r="A45" s="5" t="s">
        <v>133</v>
      </c>
      <c r="B45" s="5" t="s">
        <v>134</v>
      </c>
      <c r="C45" s="5" t="s">
        <v>20</v>
      </c>
      <c r="D45" s="5" t="s">
        <v>41</v>
      </c>
      <c r="E45" s="5" t="s">
        <v>19</v>
      </c>
      <c r="F45" s="6">
        <v>4</v>
      </c>
      <c r="G45" s="7">
        <v>8.67</v>
      </c>
      <c r="H45" s="7">
        <v>34.68</v>
      </c>
      <c r="I45" s="5" t="s">
        <v>35</v>
      </c>
    </row>
    <row r="46" spans="1:9" x14ac:dyDescent="0.2">
      <c r="A46" s="2" t="s">
        <v>135</v>
      </c>
      <c r="B46" s="2" t="s">
        <v>136</v>
      </c>
      <c r="C46" s="2" t="s">
        <v>16</v>
      </c>
      <c r="D46" s="2" t="s">
        <v>52</v>
      </c>
      <c r="E46" s="2" t="s">
        <v>15</v>
      </c>
      <c r="F46" s="3">
        <v>8</v>
      </c>
      <c r="G46" s="4">
        <v>6.06</v>
      </c>
      <c r="H46" s="4">
        <v>48.48</v>
      </c>
      <c r="I46" s="2" t="s">
        <v>49</v>
      </c>
    </row>
    <row r="47" spans="1:9" x14ac:dyDescent="0.2">
      <c r="A47" s="5" t="s">
        <v>137</v>
      </c>
      <c r="B47" s="5" t="s">
        <v>138</v>
      </c>
      <c r="C47" s="5" t="s">
        <v>18</v>
      </c>
      <c r="D47" s="5" t="s">
        <v>59</v>
      </c>
      <c r="E47" s="5" t="s">
        <v>15</v>
      </c>
      <c r="F47" s="6">
        <v>3</v>
      </c>
      <c r="G47" s="7">
        <v>4.8600000000000003</v>
      </c>
      <c r="H47" s="7">
        <v>14.58</v>
      </c>
      <c r="I47" s="5" t="s">
        <v>35</v>
      </c>
    </row>
    <row r="48" spans="1:9" x14ac:dyDescent="0.2">
      <c r="A48" s="2" t="s">
        <v>139</v>
      </c>
      <c r="B48" s="2" t="s">
        <v>140</v>
      </c>
      <c r="C48" s="2" t="s">
        <v>20</v>
      </c>
      <c r="D48" s="2" t="s">
        <v>45</v>
      </c>
      <c r="E48" s="2" t="s">
        <v>15</v>
      </c>
      <c r="F48" s="3">
        <v>4</v>
      </c>
      <c r="G48" s="4">
        <v>6.27</v>
      </c>
      <c r="H48" s="4">
        <v>25.08</v>
      </c>
      <c r="I48" s="2" t="s">
        <v>35</v>
      </c>
    </row>
    <row r="49" spans="1:9" x14ac:dyDescent="0.2">
      <c r="A49" s="5" t="s">
        <v>141</v>
      </c>
      <c r="B49" s="5" t="s">
        <v>142</v>
      </c>
      <c r="C49" s="5" t="s">
        <v>14</v>
      </c>
      <c r="D49" s="5" t="s">
        <v>38</v>
      </c>
      <c r="E49" s="5" t="s">
        <v>21</v>
      </c>
      <c r="F49" s="6">
        <v>6</v>
      </c>
      <c r="G49" s="7">
        <v>10.54</v>
      </c>
      <c r="H49" s="7">
        <v>63.24</v>
      </c>
      <c r="I49" s="5" t="s">
        <v>49</v>
      </c>
    </row>
    <row r="50" spans="1:9" x14ac:dyDescent="0.2">
      <c r="A50" s="2" t="s">
        <v>143</v>
      </c>
      <c r="B50" s="2" t="s">
        <v>144</v>
      </c>
      <c r="C50" s="2" t="s">
        <v>16</v>
      </c>
      <c r="D50" s="2" t="s">
        <v>52</v>
      </c>
      <c r="E50" s="2" t="s">
        <v>19</v>
      </c>
      <c r="F50" s="3">
        <v>7</v>
      </c>
      <c r="G50" s="4">
        <v>5.95</v>
      </c>
      <c r="H50" s="4">
        <v>41.65</v>
      </c>
      <c r="I50" s="2" t="s">
        <v>53</v>
      </c>
    </row>
    <row r="51" spans="1:9" x14ac:dyDescent="0.2">
      <c r="A51" s="5" t="s">
        <v>145</v>
      </c>
      <c r="B51" s="5" t="s">
        <v>146</v>
      </c>
      <c r="C51" s="5" t="s">
        <v>22</v>
      </c>
      <c r="D51" s="5" t="s">
        <v>120</v>
      </c>
      <c r="E51" s="5" t="s">
        <v>15</v>
      </c>
      <c r="F51" s="6">
        <v>1</v>
      </c>
      <c r="G51" s="7">
        <v>5.94</v>
      </c>
      <c r="H51" s="7">
        <v>5.94</v>
      </c>
      <c r="I51" s="5" t="s">
        <v>35</v>
      </c>
    </row>
    <row r="52" spans="1:9" x14ac:dyDescent="0.2">
      <c r="A52" s="2" t="s">
        <v>147</v>
      </c>
      <c r="B52" s="2" t="s">
        <v>148</v>
      </c>
      <c r="C52" s="2" t="s">
        <v>18</v>
      </c>
      <c r="D52" s="2" t="s">
        <v>59</v>
      </c>
      <c r="E52" s="2" t="s">
        <v>17</v>
      </c>
      <c r="F52" s="3">
        <v>5</v>
      </c>
      <c r="G52" s="4">
        <v>3.66</v>
      </c>
      <c r="H52" s="4">
        <v>18.3</v>
      </c>
      <c r="I52" s="2" t="s">
        <v>53</v>
      </c>
    </row>
    <row r="53" spans="1:9" x14ac:dyDescent="0.2">
      <c r="A53" s="5" t="s">
        <v>149</v>
      </c>
      <c r="B53" s="5" t="s">
        <v>150</v>
      </c>
      <c r="C53" s="5" t="s">
        <v>18</v>
      </c>
      <c r="D53" s="5" t="s">
        <v>34</v>
      </c>
      <c r="E53" s="5" t="s">
        <v>19</v>
      </c>
      <c r="F53" s="6">
        <v>5</v>
      </c>
      <c r="G53" s="7">
        <v>6.04</v>
      </c>
      <c r="H53" s="7">
        <v>30.2</v>
      </c>
      <c r="I53" s="5" t="s">
        <v>53</v>
      </c>
    </row>
    <row r="54" spans="1:9" x14ac:dyDescent="0.2">
      <c r="A54" s="2" t="s">
        <v>151</v>
      </c>
      <c r="B54" s="2" t="s">
        <v>152</v>
      </c>
      <c r="C54" s="2" t="s">
        <v>14</v>
      </c>
      <c r="D54" s="2" t="s">
        <v>69</v>
      </c>
      <c r="E54" s="2" t="s">
        <v>23</v>
      </c>
      <c r="F54" s="3">
        <v>1</v>
      </c>
      <c r="G54" s="4">
        <v>17.760000000000002</v>
      </c>
      <c r="H54" s="4">
        <v>17.760000000000002</v>
      </c>
      <c r="I54" s="2" t="s">
        <v>53</v>
      </c>
    </row>
    <row r="55" spans="1:9" x14ac:dyDescent="0.2">
      <c r="A55" s="5" t="s">
        <v>153</v>
      </c>
      <c r="B55" s="5" t="s">
        <v>154</v>
      </c>
      <c r="C55" s="5" t="s">
        <v>18</v>
      </c>
      <c r="D55" s="5" t="s">
        <v>34</v>
      </c>
      <c r="E55" s="5" t="s">
        <v>19</v>
      </c>
      <c r="F55" s="6">
        <v>2</v>
      </c>
      <c r="G55" s="7">
        <v>8.42</v>
      </c>
      <c r="H55" s="7">
        <v>16.84</v>
      </c>
      <c r="I55" s="5" t="s">
        <v>49</v>
      </c>
    </row>
    <row r="56" spans="1:9" x14ac:dyDescent="0.2">
      <c r="A56" s="2" t="s">
        <v>155</v>
      </c>
      <c r="B56" s="2" t="s">
        <v>156</v>
      </c>
      <c r="C56" s="2" t="s">
        <v>16</v>
      </c>
      <c r="D56" s="2" t="s">
        <v>98</v>
      </c>
      <c r="E56" s="2" t="s">
        <v>23</v>
      </c>
      <c r="F56" s="3">
        <v>4</v>
      </c>
      <c r="G56" s="4">
        <v>18.13</v>
      </c>
      <c r="H56" s="4">
        <v>72.52</v>
      </c>
      <c r="I56" s="2" t="s">
        <v>49</v>
      </c>
    </row>
    <row r="57" spans="1:9" x14ac:dyDescent="0.2">
      <c r="A57" s="5" t="s">
        <v>157</v>
      </c>
      <c r="B57" s="5" t="s">
        <v>158</v>
      </c>
      <c r="C57" s="5" t="s">
        <v>16</v>
      </c>
      <c r="D57" s="5" t="s">
        <v>72</v>
      </c>
      <c r="E57" s="5" t="s">
        <v>21</v>
      </c>
      <c r="F57" s="6">
        <v>5</v>
      </c>
      <c r="G57" s="7">
        <v>10.42</v>
      </c>
      <c r="H57" s="7">
        <v>52.1</v>
      </c>
      <c r="I57" s="5" t="s">
        <v>35</v>
      </c>
    </row>
    <row r="58" spans="1:9" x14ac:dyDescent="0.2">
      <c r="A58" s="2" t="s">
        <v>159</v>
      </c>
      <c r="B58" s="2" t="s">
        <v>160</v>
      </c>
      <c r="C58" s="2" t="s">
        <v>18</v>
      </c>
      <c r="D58" s="2" t="s">
        <v>59</v>
      </c>
      <c r="E58" s="2" t="s">
        <v>21</v>
      </c>
      <c r="F58" s="3">
        <v>5</v>
      </c>
      <c r="G58" s="4">
        <v>6.98</v>
      </c>
      <c r="H58" s="4">
        <v>34.9</v>
      </c>
      <c r="I58" s="2" t="s">
        <v>53</v>
      </c>
    </row>
    <row r="59" spans="1:9" x14ac:dyDescent="0.2">
      <c r="A59" s="5" t="s">
        <v>161</v>
      </c>
      <c r="B59" s="5" t="s">
        <v>162</v>
      </c>
      <c r="C59" s="5" t="s">
        <v>20</v>
      </c>
      <c r="D59" s="5" t="s">
        <v>48</v>
      </c>
      <c r="E59" s="5" t="s">
        <v>19</v>
      </c>
      <c r="F59" s="6">
        <v>3</v>
      </c>
      <c r="G59" s="7">
        <v>7.93</v>
      </c>
      <c r="H59" s="7">
        <v>23.79</v>
      </c>
      <c r="I59" s="5" t="s">
        <v>42</v>
      </c>
    </row>
    <row r="60" spans="1:9" x14ac:dyDescent="0.2">
      <c r="A60" s="2" t="s">
        <v>163</v>
      </c>
      <c r="B60" s="2" t="s">
        <v>164</v>
      </c>
      <c r="C60" s="2" t="s">
        <v>14</v>
      </c>
      <c r="D60" s="2" t="s">
        <v>38</v>
      </c>
      <c r="E60" s="2" t="s">
        <v>15</v>
      </c>
      <c r="F60" s="3">
        <v>2</v>
      </c>
      <c r="G60" s="4">
        <v>7.27</v>
      </c>
      <c r="H60" s="4">
        <v>14.54</v>
      </c>
      <c r="I60" s="2" t="s">
        <v>49</v>
      </c>
    </row>
    <row r="61" spans="1:9" x14ac:dyDescent="0.2">
      <c r="A61" s="5" t="s">
        <v>165</v>
      </c>
      <c r="B61" s="5" t="s">
        <v>166</v>
      </c>
      <c r="C61" s="5" t="s">
        <v>14</v>
      </c>
      <c r="D61" s="5" t="s">
        <v>38</v>
      </c>
      <c r="E61" s="5" t="s">
        <v>19</v>
      </c>
      <c r="F61" s="6">
        <v>3</v>
      </c>
      <c r="G61" s="7">
        <v>6.92</v>
      </c>
      <c r="H61" s="7">
        <v>20.76</v>
      </c>
      <c r="I61" s="5" t="s">
        <v>35</v>
      </c>
    </row>
    <row r="62" spans="1:9" x14ac:dyDescent="0.2">
      <c r="A62" s="2" t="s">
        <v>167</v>
      </c>
      <c r="B62" s="2" t="s">
        <v>168</v>
      </c>
      <c r="C62" s="2" t="s">
        <v>16</v>
      </c>
      <c r="D62" s="2" t="s">
        <v>98</v>
      </c>
      <c r="E62" s="2" t="s">
        <v>15</v>
      </c>
      <c r="F62" s="3">
        <v>6</v>
      </c>
      <c r="G62" s="4">
        <v>5.25</v>
      </c>
      <c r="H62" s="4">
        <v>31.5</v>
      </c>
      <c r="I62" s="2" t="s">
        <v>49</v>
      </c>
    </row>
    <row r="63" spans="1:9" x14ac:dyDescent="0.2">
      <c r="A63" s="5" t="s">
        <v>169</v>
      </c>
      <c r="B63" s="5" t="s">
        <v>170</v>
      </c>
      <c r="C63" s="5" t="s">
        <v>18</v>
      </c>
      <c r="D63" s="5" t="s">
        <v>64</v>
      </c>
      <c r="E63" s="5" t="s">
        <v>23</v>
      </c>
      <c r="F63" s="6">
        <v>7</v>
      </c>
      <c r="G63" s="7">
        <v>20.05</v>
      </c>
      <c r="H63" s="7">
        <v>140.35</v>
      </c>
      <c r="I63" s="5" t="s">
        <v>49</v>
      </c>
    </row>
    <row r="64" spans="1:9" x14ac:dyDescent="0.2">
      <c r="A64" s="2" t="s">
        <v>171</v>
      </c>
      <c r="B64" s="2" t="s">
        <v>172</v>
      </c>
      <c r="C64" s="2" t="s">
        <v>20</v>
      </c>
      <c r="D64" s="2" t="s">
        <v>41</v>
      </c>
      <c r="E64" s="2" t="s">
        <v>17</v>
      </c>
      <c r="F64" s="3">
        <v>7</v>
      </c>
      <c r="G64" s="4">
        <v>3.45</v>
      </c>
      <c r="H64" s="4">
        <v>24.15</v>
      </c>
      <c r="I64" s="2" t="s">
        <v>53</v>
      </c>
    </row>
    <row r="65" spans="1:9" x14ac:dyDescent="0.2">
      <c r="A65" s="5" t="s">
        <v>173</v>
      </c>
      <c r="B65" s="5" t="s">
        <v>174</v>
      </c>
      <c r="C65" s="5" t="s">
        <v>22</v>
      </c>
      <c r="D65" s="5" t="s">
        <v>107</v>
      </c>
      <c r="E65" s="5" t="s">
        <v>17</v>
      </c>
      <c r="F65" s="6">
        <v>5</v>
      </c>
      <c r="G65" s="7">
        <v>3.72</v>
      </c>
      <c r="H65" s="7">
        <v>18.600000000000001</v>
      </c>
      <c r="I65" s="5" t="s">
        <v>35</v>
      </c>
    </row>
    <row r="66" spans="1:9" x14ac:dyDescent="0.2">
      <c r="A66" s="2" t="s">
        <v>175</v>
      </c>
      <c r="B66" s="2" t="s">
        <v>176</v>
      </c>
      <c r="C66" s="2" t="s">
        <v>22</v>
      </c>
      <c r="D66" s="2" t="s">
        <v>79</v>
      </c>
      <c r="E66" s="2" t="s">
        <v>21</v>
      </c>
      <c r="F66" s="3">
        <v>4</v>
      </c>
      <c r="G66" s="4">
        <v>7.6</v>
      </c>
      <c r="H66" s="4">
        <v>30.4</v>
      </c>
      <c r="I66" s="2" t="s">
        <v>42</v>
      </c>
    </row>
    <row r="67" spans="1:9" x14ac:dyDescent="0.2">
      <c r="A67" s="5" t="s">
        <v>177</v>
      </c>
      <c r="B67" s="5" t="s">
        <v>178</v>
      </c>
      <c r="C67" s="5" t="s">
        <v>16</v>
      </c>
      <c r="D67" s="5" t="s">
        <v>98</v>
      </c>
      <c r="E67" s="5" t="s">
        <v>17</v>
      </c>
      <c r="F67" s="6">
        <v>4</v>
      </c>
      <c r="G67" s="7">
        <v>3.45</v>
      </c>
      <c r="H67" s="7">
        <v>13.8</v>
      </c>
      <c r="I67" s="5" t="s">
        <v>49</v>
      </c>
    </row>
    <row r="68" spans="1:9" x14ac:dyDescent="0.2">
      <c r="A68" s="2" t="s">
        <v>179</v>
      </c>
      <c r="B68" s="2" t="s">
        <v>180</v>
      </c>
      <c r="C68" s="2" t="s">
        <v>22</v>
      </c>
      <c r="D68" s="2" t="s">
        <v>120</v>
      </c>
      <c r="E68" s="2" t="s">
        <v>19</v>
      </c>
      <c r="F68" s="3">
        <v>2</v>
      </c>
      <c r="G68" s="4">
        <v>8.67</v>
      </c>
      <c r="H68" s="4">
        <v>17.34</v>
      </c>
      <c r="I68" s="2" t="s">
        <v>53</v>
      </c>
    </row>
    <row r="69" spans="1:9" x14ac:dyDescent="0.2">
      <c r="A69" s="5" t="s">
        <v>181</v>
      </c>
      <c r="B69" s="5" t="s">
        <v>182</v>
      </c>
      <c r="C69" s="5" t="s">
        <v>16</v>
      </c>
      <c r="D69" s="5" t="s">
        <v>72</v>
      </c>
      <c r="E69" s="5" t="s">
        <v>23</v>
      </c>
      <c r="F69" s="6">
        <v>7</v>
      </c>
      <c r="G69" s="7">
        <v>17.850000000000001</v>
      </c>
      <c r="H69" s="7">
        <v>124.95</v>
      </c>
      <c r="I69" s="5" t="s">
        <v>53</v>
      </c>
    </row>
    <row r="70" spans="1:9" x14ac:dyDescent="0.2">
      <c r="A70" s="2" t="s">
        <v>183</v>
      </c>
      <c r="B70" s="2" t="s">
        <v>184</v>
      </c>
      <c r="C70" s="2" t="s">
        <v>18</v>
      </c>
      <c r="D70" s="2" t="s">
        <v>34</v>
      </c>
      <c r="E70" s="2" t="s">
        <v>19</v>
      </c>
      <c r="F70" s="3">
        <v>3</v>
      </c>
      <c r="G70" s="4">
        <v>7.41</v>
      </c>
      <c r="H70" s="4">
        <v>22.23</v>
      </c>
      <c r="I70" s="2" t="s">
        <v>53</v>
      </c>
    </row>
    <row r="71" spans="1:9" x14ac:dyDescent="0.2">
      <c r="A71" s="5" t="s">
        <v>185</v>
      </c>
      <c r="B71" s="5" t="s">
        <v>186</v>
      </c>
      <c r="C71" s="5" t="s">
        <v>18</v>
      </c>
      <c r="D71" s="5" t="s">
        <v>34</v>
      </c>
      <c r="E71" s="5" t="s">
        <v>23</v>
      </c>
      <c r="F71" s="6">
        <v>7</v>
      </c>
      <c r="G71" s="7">
        <v>15.34</v>
      </c>
      <c r="H71" s="7">
        <v>107.38</v>
      </c>
      <c r="I71" s="5" t="s">
        <v>53</v>
      </c>
    </row>
    <row r="72" spans="1:9" x14ac:dyDescent="0.2">
      <c r="A72" s="2" t="s">
        <v>187</v>
      </c>
      <c r="B72" s="2" t="s">
        <v>188</v>
      </c>
      <c r="C72" s="2" t="s">
        <v>22</v>
      </c>
      <c r="D72" s="2" t="s">
        <v>107</v>
      </c>
      <c r="E72" s="2" t="s">
        <v>23</v>
      </c>
      <c r="F72" s="3">
        <v>2</v>
      </c>
      <c r="G72" s="4">
        <v>15.64</v>
      </c>
      <c r="H72" s="4">
        <v>31.28</v>
      </c>
      <c r="I72" s="2" t="s">
        <v>49</v>
      </c>
    </row>
    <row r="73" spans="1:9" x14ac:dyDescent="0.2">
      <c r="A73" s="5" t="s">
        <v>189</v>
      </c>
      <c r="B73" s="5" t="s">
        <v>190</v>
      </c>
      <c r="C73" s="5" t="s">
        <v>16</v>
      </c>
      <c r="D73" s="5" t="s">
        <v>52</v>
      </c>
      <c r="E73" s="5" t="s">
        <v>21</v>
      </c>
      <c r="F73" s="6">
        <v>1</v>
      </c>
      <c r="G73" s="7">
        <v>8.8800000000000008</v>
      </c>
      <c r="H73" s="7">
        <v>8.8800000000000008</v>
      </c>
      <c r="I73" s="5" t="s">
        <v>49</v>
      </c>
    </row>
    <row r="74" spans="1:9" x14ac:dyDescent="0.2">
      <c r="A74" s="2" t="s">
        <v>191</v>
      </c>
      <c r="B74" s="2" t="s">
        <v>192</v>
      </c>
      <c r="C74" s="2" t="s">
        <v>16</v>
      </c>
      <c r="D74" s="2" t="s">
        <v>98</v>
      </c>
      <c r="E74" s="2" t="s">
        <v>15</v>
      </c>
      <c r="F74" s="3">
        <v>6</v>
      </c>
      <c r="G74" s="4">
        <v>6.39</v>
      </c>
      <c r="H74" s="4">
        <v>38.340000000000003</v>
      </c>
      <c r="I74" s="2" t="s">
        <v>35</v>
      </c>
    </row>
    <row r="75" spans="1:9" x14ac:dyDescent="0.2">
      <c r="A75" s="5" t="s">
        <v>193</v>
      </c>
      <c r="B75" s="5" t="s">
        <v>194</v>
      </c>
      <c r="C75" s="5" t="s">
        <v>16</v>
      </c>
      <c r="D75" s="5" t="s">
        <v>72</v>
      </c>
      <c r="E75" s="5" t="s">
        <v>19</v>
      </c>
      <c r="F75" s="6">
        <v>7</v>
      </c>
      <c r="G75" s="7">
        <v>6.59</v>
      </c>
      <c r="H75" s="7">
        <v>46.13</v>
      </c>
      <c r="I75" s="5" t="s">
        <v>53</v>
      </c>
    </row>
    <row r="76" spans="1:9" x14ac:dyDescent="0.2">
      <c r="A76" s="2" t="s">
        <v>195</v>
      </c>
      <c r="B76" s="2" t="s">
        <v>196</v>
      </c>
      <c r="C76" s="2" t="s">
        <v>14</v>
      </c>
      <c r="D76" s="2" t="s">
        <v>38</v>
      </c>
      <c r="E76" s="2" t="s">
        <v>17</v>
      </c>
      <c r="F76" s="3">
        <v>7</v>
      </c>
      <c r="G76" s="4">
        <v>4.7300000000000004</v>
      </c>
      <c r="H76" s="4">
        <v>33.11</v>
      </c>
      <c r="I76" s="2" t="s">
        <v>42</v>
      </c>
    </row>
    <row r="77" spans="1:9" x14ac:dyDescent="0.2">
      <c r="A77" s="5" t="s">
        <v>197</v>
      </c>
      <c r="B77" s="5" t="s">
        <v>198</v>
      </c>
      <c r="C77" s="5" t="s">
        <v>20</v>
      </c>
      <c r="D77" s="5" t="s">
        <v>48</v>
      </c>
      <c r="E77" s="5" t="s">
        <v>23</v>
      </c>
      <c r="F77" s="6">
        <v>5</v>
      </c>
      <c r="G77" s="7">
        <v>15.8</v>
      </c>
      <c r="H77" s="7">
        <v>79</v>
      </c>
      <c r="I77" s="5" t="s">
        <v>35</v>
      </c>
    </row>
    <row r="78" spans="1:9" x14ac:dyDescent="0.2">
      <c r="A78" s="2" t="s">
        <v>199</v>
      </c>
      <c r="B78" s="2" t="s">
        <v>200</v>
      </c>
      <c r="C78" s="2" t="s">
        <v>16</v>
      </c>
      <c r="D78" s="2" t="s">
        <v>98</v>
      </c>
      <c r="E78" s="2" t="s">
        <v>17</v>
      </c>
      <c r="F78" s="3">
        <v>7</v>
      </c>
      <c r="G78" s="4">
        <v>4.97</v>
      </c>
      <c r="H78" s="4">
        <v>34.79</v>
      </c>
      <c r="I78" s="2" t="s">
        <v>53</v>
      </c>
    </row>
    <row r="79" spans="1:9" x14ac:dyDescent="0.2">
      <c r="A79" s="5" t="s">
        <v>201</v>
      </c>
      <c r="B79" s="5" t="s">
        <v>202</v>
      </c>
      <c r="C79" s="5" t="s">
        <v>22</v>
      </c>
      <c r="D79" s="5" t="s">
        <v>120</v>
      </c>
      <c r="E79" s="5" t="s">
        <v>21</v>
      </c>
      <c r="F79" s="6">
        <v>4</v>
      </c>
      <c r="G79" s="7">
        <v>8.84</v>
      </c>
      <c r="H79" s="7">
        <v>35.36</v>
      </c>
      <c r="I79" s="5" t="s">
        <v>49</v>
      </c>
    </row>
    <row r="80" spans="1:9" x14ac:dyDescent="0.2">
      <c r="A80" s="2" t="s">
        <v>203</v>
      </c>
      <c r="B80" s="2" t="s">
        <v>204</v>
      </c>
      <c r="C80" s="2" t="s">
        <v>18</v>
      </c>
      <c r="D80" s="2" t="s">
        <v>64</v>
      </c>
      <c r="E80" s="2" t="s">
        <v>23</v>
      </c>
      <c r="F80" s="3">
        <v>6</v>
      </c>
      <c r="G80" s="4">
        <v>13.45</v>
      </c>
      <c r="H80" s="4">
        <v>80.7</v>
      </c>
      <c r="I80" s="2" t="s">
        <v>49</v>
      </c>
    </row>
    <row r="81" spans="1:9" x14ac:dyDescent="0.2">
      <c r="A81" s="5" t="s">
        <v>205</v>
      </c>
      <c r="B81" s="5" t="s">
        <v>206</v>
      </c>
      <c r="C81" s="5" t="s">
        <v>16</v>
      </c>
      <c r="D81" s="5" t="s">
        <v>52</v>
      </c>
      <c r="E81" s="5" t="s">
        <v>17</v>
      </c>
      <c r="F81" s="6">
        <v>3</v>
      </c>
      <c r="G81" s="7">
        <v>3.45</v>
      </c>
      <c r="H81" s="7">
        <v>10.35</v>
      </c>
      <c r="I81" s="5" t="s">
        <v>49</v>
      </c>
    </row>
    <row r="82" spans="1:9" x14ac:dyDescent="0.2">
      <c r="A82" s="2" t="s">
        <v>207</v>
      </c>
      <c r="B82" s="2" t="s">
        <v>208</v>
      </c>
      <c r="C82" s="2" t="s">
        <v>22</v>
      </c>
      <c r="D82" s="2" t="s">
        <v>107</v>
      </c>
      <c r="E82" s="2" t="s">
        <v>15</v>
      </c>
      <c r="F82" s="3">
        <v>8</v>
      </c>
      <c r="G82" s="4">
        <v>5.81</v>
      </c>
      <c r="H82" s="4">
        <v>46.48</v>
      </c>
      <c r="I82" s="2" t="s">
        <v>49</v>
      </c>
    </row>
    <row r="83" spans="1:9" x14ac:dyDescent="0.2">
      <c r="A83" s="5" t="s">
        <v>209</v>
      </c>
      <c r="B83" s="5" t="s">
        <v>210</v>
      </c>
      <c r="C83" s="5" t="s">
        <v>22</v>
      </c>
      <c r="D83" s="5" t="s">
        <v>120</v>
      </c>
      <c r="E83" s="5" t="s">
        <v>21</v>
      </c>
      <c r="F83" s="6">
        <v>4</v>
      </c>
      <c r="G83" s="7">
        <v>7.39</v>
      </c>
      <c r="H83" s="7">
        <v>29.56</v>
      </c>
      <c r="I83" s="5" t="s">
        <v>35</v>
      </c>
    </row>
    <row r="84" spans="1:9" x14ac:dyDescent="0.2">
      <c r="A84" s="2" t="s">
        <v>211</v>
      </c>
      <c r="B84" s="2" t="s">
        <v>212</v>
      </c>
      <c r="C84" s="2" t="s">
        <v>18</v>
      </c>
      <c r="D84" s="2" t="s">
        <v>64</v>
      </c>
      <c r="E84" s="2" t="s">
        <v>17</v>
      </c>
      <c r="F84" s="3">
        <v>3</v>
      </c>
      <c r="G84" s="4">
        <v>5.01</v>
      </c>
      <c r="H84" s="4">
        <v>15.03</v>
      </c>
      <c r="I84" s="2" t="s">
        <v>42</v>
      </c>
    </row>
    <row r="85" spans="1:9" x14ac:dyDescent="0.2">
      <c r="A85" s="5" t="s">
        <v>213</v>
      </c>
      <c r="B85" s="5" t="s">
        <v>214</v>
      </c>
      <c r="C85" s="5" t="s">
        <v>18</v>
      </c>
      <c r="D85" s="5" t="s">
        <v>59</v>
      </c>
      <c r="E85" s="5" t="s">
        <v>17</v>
      </c>
      <c r="F85" s="6">
        <v>2</v>
      </c>
      <c r="G85" s="7">
        <v>4.3099999999999996</v>
      </c>
      <c r="H85" s="7">
        <v>8.6199999999999992</v>
      </c>
      <c r="I85" s="5" t="s">
        <v>42</v>
      </c>
    </row>
    <row r="86" spans="1:9" x14ac:dyDescent="0.2">
      <c r="A86" s="2" t="s">
        <v>215</v>
      </c>
      <c r="B86" s="2" t="s">
        <v>216</v>
      </c>
      <c r="C86" s="2" t="s">
        <v>14</v>
      </c>
      <c r="D86" s="2" t="s">
        <v>69</v>
      </c>
      <c r="E86" s="2" t="s">
        <v>23</v>
      </c>
      <c r="F86" s="3">
        <v>6</v>
      </c>
      <c r="G86" s="4">
        <v>19.88</v>
      </c>
      <c r="H86" s="4">
        <v>119.28</v>
      </c>
      <c r="I86" s="2" t="s">
        <v>42</v>
      </c>
    </row>
    <row r="87" spans="1:9" x14ac:dyDescent="0.2">
      <c r="A87" s="5" t="s">
        <v>217</v>
      </c>
      <c r="B87" s="5" t="s">
        <v>218</v>
      </c>
      <c r="C87" s="5" t="s">
        <v>14</v>
      </c>
      <c r="D87" s="5" t="s">
        <v>69</v>
      </c>
      <c r="E87" s="5" t="s">
        <v>23</v>
      </c>
      <c r="F87" s="6">
        <v>7</v>
      </c>
      <c r="G87" s="7">
        <v>18.98</v>
      </c>
      <c r="H87" s="7">
        <v>132.86000000000001</v>
      </c>
      <c r="I87" s="5" t="s">
        <v>42</v>
      </c>
    </row>
    <row r="88" spans="1:9" x14ac:dyDescent="0.2">
      <c r="A88" s="2" t="s">
        <v>219</v>
      </c>
      <c r="B88" s="2" t="s">
        <v>220</v>
      </c>
      <c r="C88" s="2" t="s">
        <v>20</v>
      </c>
      <c r="D88" s="2" t="s">
        <v>48</v>
      </c>
      <c r="E88" s="2" t="s">
        <v>21</v>
      </c>
      <c r="F88" s="3">
        <v>8</v>
      </c>
      <c r="G88" s="4">
        <v>7.84</v>
      </c>
      <c r="H88" s="4">
        <v>62.72</v>
      </c>
      <c r="I88" s="2" t="s">
        <v>49</v>
      </c>
    </row>
    <row r="89" spans="1:9" x14ac:dyDescent="0.2">
      <c r="A89" s="5" t="s">
        <v>221</v>
      </c>
      <c r="B89" s="5" t="s">
        <v>222</v>
      </c>
      <c r="C89" s="5" t="s">
        <v>16</v>
      </c>
      <c r="D89" s="5" t="s">
        <v>72</v>
      </c>
      <c r="E89" s="5" t="s">
        <v>21</v>
      </c>
      <c r="F89" s="6">
        <v>4</v>
      </c>
      <c r="G89" s="7">
        <v>7.9</v>
      </c>
      <c r="H89" s="7">
        <v>31.6</v>
      </c>
      <c r="I89" s="5" t="s">
        <v>35</v>
      </c>
    </row>
    <row r="90" spans="1:9" x14ac:dyDescent="0.2">
      <c r="A90" s="2" t="s">
        <v>223</v>
      </c>
      <c r="B90" s="2" t="s">
        <v>224</v>
      </c>
      <c r="C90" s="2" t="s">
        <v>16</v>
      </c>
      <c r="D90" s="2" t="s">
        <v>52</v>
      </c>
      <c r="E90" s="2" t="s">
        <v>19</v>
      </c>
      <c r="F90" s="3">
        <v>6</v>
      </c>
      <c r="G90" s="4">
        <v>6.56</v>
      </c>
      <c r="H90" s="4">
        <v>39.36</v>
      </c>
      <c r="I90" s="2" t="s">
        <v>35</v>
      </c>
    </row>
    <row r="91" spans="1:9" x14ac:dyDescent="0.2">
      <c r="A91" s="5" t="s">
        <v>225</v>
      </c>
      <c r="B91" s="5" t="s">
        <v>226</v>
      </c>
      <c r="C91" s="5" t="s">
        <v>20</v>
      </c>
      <c r="D91" s="5" t="s">
        <v>41</v>
      </c>
      <c r="E91" s="5" t="s">
        <v>17</v>
      </c>
      <c r="F91" s="6">
        <v>7</v>
      </c>
      <c r="G91" s="7">
        <v>4.79</v>
      </c>
      <c r="H91" s="7">
        <v>33.53</v>
      </c>
      <c r="I91" s="5" t="s">
        <v>49</v>
      </c>
    </row>
    <row r="92" spans="1:9" x14ac:dyDescent="0.2">
      <c r="A92" s="2" t="s">
        <v>227</v>
      </c>
      <c r="B92" s="2" t="s">
        <v>228</v>
      </c>
      <c r="C92" s="2" t="s">
        <v>18</v>
      </c>
      <c r="D92" s="2" t="s">
        <v>64</v>
      </c>
      <c r="E92" s="2" t="s">
        <v>21</v>
      </c>
      <c r="F92" s="3">
        <v>6</v>
      </c>
      <c r="G92" s="4">
        <v>8.9700000000000006</v>
      </c>
      <c r="H92" s="4">
        <v>53.82</v>
      </c>
      <c r="I92" s="2" t="s">
        <v>42</v>
      </c>
    </row>
    <row r="93" spans="1:9" x14ac:dyDescent="0.2">
      <c r="A93" s="5" t="s">
        <v>229</v>
      </c>
      <c r="B93" s="5" t="s">
        <v>230</v>
      </c>
      <c r="C93" s="5" t="s">
        <v>18</v>
      </c>
      <c r="D93" s="5" t="s">
        <v>34</v>
      </c>
      <c r="E93" s="5" t="s">
        <v>21</v>
      </c>
      <c r="F93" s="6">
        <v>7</v>
      </c>
      <c r="G93" s="7">
        <v>10.42</v>
      </c>
      <c r="H93" s="7">
        <v>72.94</v>
      </c>
      <c r="I93" s="5" t="s">
        <v>35</v>
      </c>
    </row>
    <row r="94" spans="1:9" x14ac:dyDescent="0.2">
      <c r="A94" s="2" t="s">
        <v>231</v>
      </c>
      <c r="B94" s="2" t="s">
        <v>232</v>
      </c>
      <c r="C94" s="2" t="s">
        <v>14</v>
      </c>
      <c r="D94" s="2" t="s">
        <v>56</v>
      </c>
      <c r="E94" s="2" t="s">
        <v>21</v>
      </c>
      <c r="F94" s="3">
        <v>1</v>
      </c>
      <c r="G94" s="4">
        <v>10.57</v>
      </c>
      <c r="H94" s="4">
        <v>10.57</v>
      </c>
      <c r="I94" s="2" t="s">
        <v>53</v>
      </c>
    </row>
    <row r="95" spans="1:9" x14ac:dyDescent="0.2">
      <c r="A95" s="5" t="s">
        <v>233</v>
      </c>
      <c r="B95" s="5" t="s">
        <v>234</v>
      </c>
      <c r="C95" s="5" t="s">
        <v>22</v>
      </c>
      <c r="D95" s="5" t="s">
        <v>120</v>
      </c>
      <c r="E95" s="5" t="s">
        <v>23</v>
      </c>
      <c r="F95" s="6">
        <v>4</v>
      </c>
      <c r="G95" s="7">
        <v>16.41</v>
      </c>
      <c r="H95" s="7">
        <v>65.64</v>
      </c>
      <c r="I95" s="5" t="s">
        <v>53</v>
      </c>
    </row>
    <row r="96" spans="1:9" x14ac:dyDescent="0.2">
      <c r="A96" s="2" t="s">
        <v>235</v>
      </c>
      <c r="B96" s="2" t="s">
        <v>236</v>
      </c>
      <c r="C96" s="2" t="s">
        <v>22</v>
      </c>
      <c r="D96" s="2" t="s">
        <v>120</v>
      </c>
      <c r="E96" s="2" t="s">
        <v>15</v>
      </c>
      <c r="F96" s="3">
        <v>7</v>
      </c>
      <c r="G96" s="4">
        <v>5.6</v>
      </c>
      <c r="H96" s="4">
        <v>39.200000000000003</v>
      </c>
      <c r="I96" s="2" t="s">
        <v>42</v>
      </c>
    </row>
    <row r="97" spans="1:9" x14ac:dyDescent="0.2">
      <c r="A97" s="5" t="s">
        <v>237</v>
      </c>
      <c r="B97" s="5" t="s">
        <v>238</v>
      </c>
      <c r="C97" s="5" t="s">
        <v>20</v>
      </c>
      <c r="D97" s="5" t="s">
        <v>45</v>
      </c>
      <c r="E97" s="5" t="s">
        <v>17</v>
      </c>
      <c r="F97" s="6">
        <v>1</v>
      </c>
      <c r="G97" s="7">
        <v>5.21</v>
      </c>
      <c r="H97" s="7">
        <v>5.21</v>
      </c>
      <c r="I97" s="5" t="s">
        <v>35</v>
      </c>
    </row>
    <row r="98" spans="1:9" x14ac:dyDescent="0.2">
      <c r="A98" s="2" t="s">
        <v>239</v>
      </c>
      <c r="B98" s="2" t="s">
        <v>240</v>
      </c>
      <c r="C98" s="2" t="s">
        <v>18</v>
      </c>
      <c r="D98" s="2" t="s">
        <v>59</v>
      </c>
      <c r="E98" s="2" t="s">
        <v>21</v>
      </c>
      <c r="F98" s="3">
        <v>3</v>
      </c>
      <c r="G98" s="4">
        <v>10.27</v>
      </c>
      <c r="H98" s="4">
        <v>30.81</v>
      </c>
      <c r="I98" s="2" t="s">
        <v>49</v>
      </c>
    </row>
    <row r="99" spans="1:9" x14ac:dyDescent="0.2">
      <c r="A99" s="5" t="s">
        <v>241</v>
      </c>
      <c r="B99" s="5" t="s">
        <v>242</v>
      </c>
      <c r="C99" s="5" t="s">
        <v>18</v>
      </c>
      <c r="D99" s="5" t="s">
        <v>64</v>
      </c>
      <c r="E99" s="5" t="s">
        <v>21</v>
      </c>
      <c r="F99" s="6">
        <v>6</v>
      </c>
      <c r="G99" s="7">
        <v>7.65</v>
      </c>
      <c r="H99" s="7">
        <v>45.9</v>
      </c>
      <c r="I99" s="5" t="s">
        <v>53</v>
      </c>
    </row>
    <row r="100" spans="1:9" x14ac:dyDescent="0.2">
      <c r="A100" s="2" t="s">
        <v>243</v>
      </c>
      <c r="B100" s="2" t="s">
        <v>244</v>
      </c>
      <c r="C100" s="2" t="s">
        <v>16</v>
      </c>
      <c r="D100" s="2" t="s">
        <v>98</v>
      </c>
      <c r="E100" s="2" t="s">
        <v>19</v>
      </c>
      <c r="F100" s="3">
        <v>7</v>
      </c>
      <c r="G100" s="4">
        <v>6.34</v>
      </c>
      <c r="H100" s="4">
        <v>44.38</v>
      </c>
      <c r="I100" s="2" t="s">
        <v>35</v>
      </c>
    </row>
    <row r="101" spans="1:9" x14ac:dyDescent="0.2">
      <c r="A101" s="5" t="s">
        <v>245</v>
      </c>
      <c r="B101" s="5" t="s">
        <v>246</v>
      </c>
      <c r="C101" s="5" t="s">
        <v>22</v>
      </c>
      <c r="D101" s="5" t="s">
        <v>79</v>
      </c>
      <c r="E101" s="5" t="s">
        <v>23</v>
      </c>
      <c r="F101" s="6">
        <v>1</v>
      </c>
      <c r="G101" s="7">
        <v>20.25</v>
      </c>
      <c r="H101" s="7">
        <v>20.25</v>
      </c>
      <c r="I101" s="5" t="s">
        <v>53</v>
      </c>
    </row>
    <row r="102" spans="1:9" x14ac:dyDescent="0.2">
      <c r="A102" s="2" t="s">
        <v>247</v>
      </c>
      <c r="B102" s="2" t="s">
        <v>248</v>
      </c>
      <c r="C102" s="2" t="s">
        <v>20</v>
      </c>
      <c r="D102" s="2" t="s">
        <v>48</v>
      </c>
      <c r="E102" s="2" t="s">
        <v>15</v>
      </c>
      <c r="F102" s="3">
        <v>1</v>
      </c>
      <c r="G102" s="4">
        <v>6.75</v>
      </c>
      <c r="H102" s="4">
        <v>6.75</v>
      </c>
      <c r="I102" s="2" t="s">
        <v>49</v>
      </c>
    </row>
    <row r="103" spans="1:9" x14ac:dyDescent="0.2">
      <c r="A103" s="5" t="s">
        <v>249</v>
      </c>
      <c r="B103" s="5" t="s">
        <v>250</v>
      </c>
      <c r="C103" s="5" t="s">
        <v>20</v>
      </c>
      <c r="D103" s="5" t="s">
        <v>41</v>
      </c>
      <c r="E103" s="5" t="s">
        <v>23</v>
      </c>
      <c r="F103" s="6">
        <v>3</v>
      </c>
      <c r="G103" s="7">
        <v>14.54</v>
      </c>
      <c r="H103" s="7">
        <v>43.62</v>
      </c>
      <c r="I103" s="5" t="s">
        <v>42</v>
      </c>
    </row>
    <row r="104" spans="1:9" x14ac:dyDescent="0.2">
      <c r="A104" s="2" t="s">
        <v>251</v>
      </c>
      <c r="B104" s="2" t="s">
        <v>252</v>
      </c>
      <c r="C104" s="2" t="s">
        <v>18</v>
      </c>
      <c r="D104" s="2" t="s">
        <v>59</v>
      </c>
      <c r="E104" s="2" t="s">
        <v>17</v>
      </c>
      <c r="F104" s="3">
        <v>8</v>
      </c>
      <c r="G104" s="4">
        <v>4.8</v>
      </c>
      <c r="H104" s="4">
        <v>38.4</v>
      </c>
      <c r="I104" s="2" t="s">
        <v>53</v>
      </c>
    </row>
    <row r="105" spans="1:9" x14ac:dyDescent="0.2">
      <c r="A105" s="5" t="s">
        <v>253</v>
      </c>
      <c r="B105" s="5" t="s">
        <v>254</v>
      </c>
      <c r="C105" s="5" t="s">
        <v>20</v>
      </c>
      <c r="D105" s="5" t="s">
        <v>48</v>
      </c>
      <c r="E105" s="5" t="s">
        <v>23</v>
      </c>
      <c r="F105" s="6">
        <v>2</v>
      </c>
      <c r="G105" s="7">
        <v>18.579999999999998</v>
      </c>
      <c r="H105" s="7">
        <v>37.159999999999997</v>
      </c>
      <c r="I105" s="5" t="s">
        <v>49</v>
      </c>
    </row>
    <row r="106" spans="1:9" x14ac:dyDescent="0.2">
      <c r="A106" s="2" t="s">
        <v>255</v>
      </c>
      <c r="B106" s="2" t="s">
        <v>256</v>
      </c>
      <c r="C106" s="2" t="s">
        <v>16</v>
      </c>
      <c r="D106" s="2" t="s">
        <v>52</v>
      </c>
      <c r="E106" s="2" t="s">
        <v>23</v>
      </c>
      <c r="F106" s="3">
        <v>1</v>
      </c>
      <c r="G106" s="4">
        <v>19.72</v>
      </c>
      <c r="H106" s="4">
        <v>19.72</v>
      </c>
      <c r="I106" s="2" t="s">
        <v>42</v>
      </c>
    </row>
    <row r="107" spans="1:9" x14ac:dyDescent="0.2">
      <c r="A107" s="5" t="s">
        <v>257</v>
      </c>
      <c r="B107" s="5" t="s">
        <v>258</v>
      </c>
      <c r="C107" s="5" t="s">
        <v>22</v>
      </c>
      <c r="D107" s="5" t="s">
        <v>107</v>
      </c>
      <c r="E107" s="5" t="s">
        <v>17</v>
      </c>
      <c r="F107" s="6">
        <v>2</v>
      </c>
      <c r="G107" s="7">
        <v>4.58</v>
      </c>
      <c r="H107" s="7">
        <v>9.16</v>
      </c>
      <c r="I107" s="5" t="s">
        <v>49</v>
      </c>
    </row>
    <row r="108" spans="1:9" x14ac:dyDescent="0.2">
      <c r="A108" s="2" t="s">
        <v>259</v>
      </c>
      <c r="B108" s="2" t="s">
        <v>260</v>
      </c>
      <c r="C108" s="2" t="s">
        <v>18</v>
      </c>
      <c r="D108" s="2" t="s">
        <v>59</v>
      </c>
      <c r="E108" s="2" t="s">
        <v>19</v>
      </c>
      <c r="F108" s="3">
        <v>2</v>
      </c>
      <c r="G108" s="4">
        <v>8.11</v>
      </c>
      <c r="H108" s="4">
        <v>16.22</v>
      </c>
      <c r="I108" s="2" t="s">
        <v>35</v>
      </c>
    </row>
    <row r="109" spans="1:9" x14ac:dyDescent="0.2">
      <c r="A109" s="5" t="s">
        <v>261</v>
      </c>
      <c r="B109" s="5" t="s">
        <v>262</v>
      </c>
      <c r="C109" s="5" t="s">
        <v>16</v>
      </c>
      <c r="D109" s="5" t="s">
        <v>72</v>
      </c>
      <c r="E109" s="5" t="s">
        <v>21</v>
      </c>
      <c r="F109" s="6">
        <v>6</v>
      </c>
      <c r="G109" s="7">
        <v>7.08</v>
      </c>
      <c r="H109" s="7">
        <v>42.48</v>
      </c>
      <c r="I109" s="5" t="s">
        <v>53</v>
      </c>
    </row>
    <row r="110" spans="1:9" x14ac:dyDescent="0.2">
      <c r="A110" s="2" t="s">
        <v>263</v>
      </c>
      <c r="B110" s="2" t="s">
        <v>264</v>
      </c>
      <c r="C110" s="2" t="s">
        <v>18</v>
      </c>
      <c r="D110" s="2" t="s">
        <v>64</v>
      </c>
      <c r="E110" s="2" t="s">
        <v>21</v>
      </c>
      <c r="F110" s="3">
        <v>2</v>
      </c>
      <c r="G110" s="4">
        <v>8.5299999999999994</v>
      </c>
      <c r="H110" s="4">
        <v>17.059999999999999</v>
      </c>
      <c r="I110" s="2" t="s">
        <v>53</v>
      </c>
    </row>
    <row r="111" spans="1:9" x14ac:dyDescent="0.2">
      <c r="A111" s="5" t="s">
        <v>265</v>
      </c>
      <c r="B111" s="5" t="s">
        <v>266</v>
      </c>
      <c r="C111" s="5" t="s">
        <v>22</v>
      </c>
      <c r="D111" s="5" t="s">
        <v>107</v>
      </c>
      <c r="E111" s="5" t="s">
        <v>17</v>
      </c>
      <c r="F111" s="6">
        <v>7</v>
      </c>
      <c r="G111" s="7">
        <v>3.75</v>
      </c>
      <c r="H111" s="7">
        <v>26.25</v>
      </c>
      <c r="I111" s="5" t="s">
        <v>53</v>
      </c>
    </row>
    <row r="112" spans="1:9" x14ac:dyDescent="0.2">
      <c r="A112" s="2" t="s">
        <v>267</v>
      </c>
      <c r="B112" s="2" t="s">
        <v>268</v>
      </c>
      <c r="C112" s="2" t="s">
        <v>14</v>
      </c>
      <c r="D112" s="2" t="s">
        <v>69</v>
      </c>
      <c r="E112" s="2" t="s">
        <v>21</v>
      </c>
      <c r="F112" s="3">
        <v>8</v>
      </c>
      <c r="G112" s="4">
        <v>8.5399999999999991</v>
      </c>
      <c r="H112" s="4">
        <v>68.319999999999993</v>
      </c>
      <c r="I112" s="2" t="s">
        <v>53</v>
      </c>
    </row>
    <row r="113" spans="1:9" x14ac:dyDescent="0.2">
      <c r="A113" s="5" t="s">
        <v>269</v>
      </c>
      <c r="B113" s="5" t="s">
        <v>270</v>
      </c>
      <c r="C113" s="5" t="s">
        <v>16</v>
      </c>
      <c r="D113" s="5" t="s">
        <v>52</v>
      </c>
      <c r="E113" s="5" t="s">
        <v>15</v>
      </c>
      <c r="F113" s="6">
        <v>5</v>
      </c>
      <c r="G113" s="7">
        <v>7.1</v>
      </c>
      <c r="H113" s="7">
        <v>35.5</v>
      </c>
      <c r="I113" s="5" t="s">
        <v>49</v>
      </c>
    </row>
    <row r="114" spans="1:9" x14ac:dyDescent="0.2">
      <c r="A114" s="2" t="s">
        <v>271</v>
      </c>
      <c r="B114" s="2" t="s">
        <v>272</v>
      </c>
      <c r="C114" s="2" t="s">
        <v>22</v>
      </c>
      <c r="D114" s="2" t="s">
        <v>107</v>
      </c>
      <c r="E114" s="2" t="s">
        <v>23</v>
      </c>
      <c r="F114" s="3">
        <v>7</v>
      </c>
      <c r="G114" s="4">
        <v>15.27</v>
      </c>
      <c r="H114" s="4">
        <v>106.89</v>
      </c>
      <c r="I114" s="2" t="s">
        <v>42</v>
      </c>
    </row>
    <row r="115" spans="1:9" x14ac:dyDescent="0.2">
      <c r="A115" s="5" t="s">
        <v>273</v>
      </c>
      <c r="B115" s="5" t="s">
        <v>274</v>
      </c>
      <c r="C115" s="5" t="s">
        <v>16</v>
      </c>
      <c r="D115" s="5" t="s">
        <v>52</v>
      </c>
      <c r="E115" s="5" t="s">
        <v>21</v>
      </c>
      <c r="F115" s="6">
        <v>4</v>
      </c>
      <c r="G115" s="7">
        <v>8.2200000000000006</v>
      </c>
      <c r="H115" s="7">
        <v>32.880000000000003</v>
      </c>
      <c r="I115" s="5" t="s">
        <v>53</v>
      </c>
    </row>
    <row r="116" spans="1:9" x14ac:dyDescent="0.2">
      <c r="A116" s="2" t="s">
        <v>275</v>
      </c>
      <c r="B116" s="2" t="s">
        <v>276</v>
      </c>
      <c r="C116" s="2" t="s">
        <v>16</v>
      </c>
      <c r="D116" s="2" t="s">
        <v>98</v>
      </c>
      <c r="E116" s="2" t="s">
        <v>23</v>
      </c>
      <c r="F116" s="3">
        <v>5</v>
      </c>
      <c r="G116" s="4">
        <v>16.920000000000002</v>
      </c>
      <c r="H116" s="4">
        <v>84.6</v>
      </c>
      <c r="I116" s="2" t="s">
        <v>49</v>
      </c>
    </row>
    <row r="117" spans="1:9" x14ac:dyDescent="0.2">
      <c r="A117" s="5" t="s">
        <v>277</v>
      </c>
      <c r="B117" s="5" t="s">
        <v>278</v>
      </c>
      <c r="C117" s="5" t="s">
        <v>18</v>
      </c>
      <c r="D117" s="5" t="s">
        <v>34</v>
      </c>
      <c r="E117" s="5" t="s">
        <v>21</v>
      </c>
      <c r="F117" s="6">
        <v>8</v>
      </c>
      <c r="G117" s="7">
        <v>9.02</v>
      </c>
      <c r="H117" s="7">
        <v>72.16</v>
      </c>
      <c r="I117" s="5" t="s">
        <v>49</v>
      </c>
    </row>
    <row r="118" spans="1:9" x14ac:dyDescent="0.2">
      <c r="A118" s="2" t="s">
        <v>279</v>
      </c>
      <c r="B118" s="2" t="s">
        <v>280</v>
      </c>
      <c r="C118" s="2" t="s">
        <v>22</v>
      </c>
      <c r="D118" s="2" t="s">
        <v>107</v>
      </c>
      <c r="E118" s="2" t="s">
        <v>21</v>
      </c>
      <c r="F118" s="3">
        <v>8</v>
      </c>
      <c r="G118" s="4">
        <v>9.9700000000000006</v>
      </c>
      <c r="H118" s="4">
        <v>79.760000000000005</v>
      </c>
      <c r="I118" s="2" t="s">
        <v>35</v>
      </c>
    </row>
    <row r="119" spans="1:9" x14ac:dyDescent="0.2">
      <c r="A119" s="5" t="s">
        <v>281</v>
      </c>
      <c r="B119" s="5" t="s">
        <v>282</v>
      </c>
      <c r="C119" s="5" t="s">
        <v>16</v>
      </c>
      <c r="D119" s="5" t="s">
        <v>52</v>
      </c>
      <c r="E119" s="5" t="s">
        <v>21</v>
      </c>
      <c r="F119" s="6">
        <v>4</v>
      </c>
      <c r="G119" s="7">
        <v>8.02</v>
      </c>
      <c r="H119" s="7">
        <v>32.08</v>
      </c>
      <c r="I119" s="5" t="s">
        <v>53</v>
      </c>
    </row>
    <row r="120" spans="1:9" x14ac:dyDescent="0.2">
      <c r="A120" s="2" t="s">
        <v>283</v>
      </c>
      <c r="B120" s="2" t="s">
        <v>284</v>
      </c>
      <c r="C120" s="2" t="s">
        <v>22</v>
      </c>
      <c r="D120" s="2" t="s">
        <v>107</v>
      </c>
      <c r="E120" s="2" t="s">
        <v>23</v>
      </c>
      <c r="F120" s="3">
        <v>6</v>
      </c>
      <c r="G120" s="4">
        <v>15.94</v>
      </c>
      <c r="H120" s="4">
        <v>95.64</v>
      </c>
      <c r="I120" s="2" t="s">
        <v>53</v>
      </c>
    </row>
    <row r="121" spans="1:9" x14ac:dyDescent="0.2">
      <c r="A121" s="5" t="s">
        <v>285</v>
      </c>
      <c r="B121" s="5" t="s">
        <v>286</v>
      </c>
      <c r="C121" s="5" t="s">
        <v>16</v>
      </c>
      <c r="D121" s="5" t="s">
        <v>72</v>
      </c>
      <c r="E121" s="5" t="s">
        <v>21</v>
      </c>
      <c r="F121" s="6">
        <v>5</v>
      </c>
      <c r="G121" s="7">
        <v>8.0299999999999994</v>
      </c>
      <c r="H121" s="7">
        <v>40.15</v>
      </c>
      <c r="I121" s="5" t="s">
        <v>49</v>
      </c>
    </row>
    <row r="122" spans="1:9" x14ac:dyDescent="0.2">
      <c r="A122" s="2" t="s">
        <v>287</v>
      </c>
      <c r="B122" s="2" t="s">
        <v>288</v>
      </c>
      <c r="C122" s="2" t="s">
        <v>18</v>
      </c>
      <c r="D122" s="2" t="s">
        <v>59</v>
      </c>
      <c r="E122" s="2" t="s">
        <v>17</v>
      </c>
      <c r="F122" s="3">
        <v>6</v>
      </c>
      <c r="G122" s="4">
        <v>3.64</v>
      </c>
      <c r="H122" s="4">
        <v>21.84</v>
      </c>
      <c r="I122" s="2" t="s">
        <v>49</v>
      </c>
    </row>
    <row r="123" spans="1:9" x14ac:dyDescent="0.2">
      <c r="A123" s="5" t="s">
        <v>289</v>
      </c>
      <c r="B123" s="5" t="s">
        <v>290</v>
      </c>
      <c r="C123" s="5" t="s">
        <v>20</v>
      </c>
      <c r="D123" s="5" t="s">
        <v>41</v>
      </c>
      <c r="E123" s="5" t="s">
        <v>21</v>
      </c>
      <c r="F123" s="6">
        <v>5</v>
      </c>
      <c r="G123" s="7">
        <v>9.6999999999999993</v>
      </c>
      <c r="H123" s="7">
        <v>48.5</v>
      </c>
      <c r="I123" s="5" t="s">
        <v>53</v>
      </c>
    </row>
    <row r="124" spans="1:9" x14ac:dyDescent="0.2">
      <c r="A124" s="2" t="s">
        <v>291</v>
      </c>
      <c r="B124" s="2" t="s">
        <v>292</v>
      </c>
      <c r="C124" s="2" t="s">
        <v>18</v>
      </c>
      <c r="D124" s="2" t="s">
        <v>34</v>
      </c>
      <c r="E124" s="2" t="s">
        <v>19</v>
      </c>
      <c r="F124" s="3">
        <v>4</v>
      </c>
      <c r="G124" s="4">
        <v>6.7</v>
      </c>
      <c r="H124" s="4">
        <v>26.8</v>
      </c>
      <c r="I124" s="2" t="s">
        <v>53</v>
      </c>
    </row>
    <row r="125" spans="1:9" x14ac:dyDescent="0.2">
      <c r="A125" s="5" t="s">
        <v>293</v>
      </c>
      <c r="B125" s="5" t="s">
        <v>294</v>
      </c>
      <c r="C125" s="5" t="s">
        <v>18</v>
      </c>
      <c r="D125" s="5" t="s">
        <v>59</v>
      </c>
      <c r="E125" s="5" t="s">
        <v>23</v>
      </c>
      <c r="F125" s="6">
        <v>3</v>
      </c>
      <c r="G125" s="7">
        <v>14.81</v>
      </c>
      <c r="H125" s="7">
        <v>44.43</v>
      </c>
      <c r="I125" s="5" t="s">
        <v>35</v>
      </c>
    </row>
    <row r="126" spans="1:9" x14ac:dyDescent="0.2">
      <c r="A126" s="2" t="s">
        <v>295</v>
      </c>
      <c r="B126" s="2" t="s">
        <v>296</v>
      </c>
      <c r="C126" s="2" t="s">
        <v>14</v>
      </c>
      <c r="D126" s="2" t="s">
        <v>56</v>
      </c>
      <c r="E126" s="2" t="s">
        <v>17</v>
      </c>
      <c r="F126" s="3">
        <v>8</v>
      </c>
      <c r="G126" s="4">
        <v>3.61</v>
      </c>
      <c r="H126" s="4">
        <v>28.88</v>
      </c>
      <c r="I126" s="2" t="s">
        <v>35</v>
      </c>
    </row>
    <row r="127" spans="1:9" x14ac:dyDescent="0.2">
      <c r="A127" s="5" t="s">
        <v>297</v>
      </c>
      <c r="B127" s="5" t="s">
        <v>298</v>
      </c>
      <c r="C127" s="5" t="s">
        <v>14</v>
      </c>
      <c r="D127" s="5" t="s">
        <v>56</v>
      </c>
      <c r="E127" s="5" t="s">
        <v>21</v>
      </c>
      <c r="F127" s="6">
        <v>8</v>
      </c>
      <c r="G127" s="7">
        <v>8.56</v>
      </c>
      <c r="H127" s="7">
        <v>68.48</v>
      </c>
      <c r="I127" s="5" t="s">
        <v>49</v>
      </c>
    </row>
    <row r="128" spans="1:9" x14ac:dyDescent="0.2">
      <c r="A128" s="2" t="s">
        <v>299</v>
      </c>
      <c r="B128" s="2" t="s">
        <v>300</v>
      </c>
      <c r="C128" s="2" t="s">
        <v>18</v>
      </c>
      <c r="D128" s="2" t="s">
        <v>64</v>
      </c>
      <c r="E128" s="2" t="s">
        <v>21</v>
      </c>
      <c r="F128" s="3">
        <v>2</v>
      </c>
      <c r="G128" s="4">
        <v>10.09</v>
      </c>
      <c r="H128" s="4">
        <v>20.18</v>
      </c>
      <c r="I128" s="2" t="s">
        <v>42</v>
      </c>
    </row>
    <row r="129" spans="1:9" x14ac:dyDescent="0.2">
      <c r="A129" s="5" t="s">
        <v>301</v>
      </c>
      <c r="B129" s="5" t="s">
        <v>302</v>
      </c>
      <c r="C129" s="5" t="s">
        <v>22</v>
      </c>
      <c r="D129" s="5" t="s">
        <v>79</v>
      </c>
      <c r="E129" s="5" t="s">
        <v>23</v>
      </c>
      <c r="F129" s="6">
        <v>1</v>
      </c>
      <c r="G129" s="7">
        <v>13.89</v>
      </c>
      <c r="H129" s="7">
        <v>13.89</v>
      </c>
      <c r="I129" s="5" t="s">
        <v>53</v>
      </c>
    </row>
    <row r="130" spans="1:9" x14ac:dyDescent="0.2">
      <c r="A130" s="2" t="s">
        <v>303</v>
      </c>
      <c r="B130" s="2" t="s">
        <v>304</v>
      </c>
      <c r="C130" s="2" t="s">
        <v>18</v>
      </c>
      <c r="D130" s="2" t="s">
        <v>34</v>
      </c>
      <c r="E130" s="2" t="s">
        <v>15</v>
      </c>
      <c r="F130" s="3">
        <v>7</v>
      </c>
      <c r="G130" s="4">
        <v>6.34</v>
      </c>
      <c r="H130" s="4">
        <v>44.38</v>
      </c>
      <c r="I130" s="2" t="s">
        <v>49</v>
      </c>
    </row>
    <row r="131" spans="1:9" x14ac:dyDescent="0.2">
      <c r="A131" s="5" t="s">
        <v>305</v>
      </c>
      <c r="B131" s="5" t="s">
        <v>306</v>
      </c>
      <c r="C131" s="5" t="s">
        <v>14</v>
      </c>
      <c r="D131" s="5" t="s">
        <v>56</v>
      </c>
      <c r="E131" s="5" t="s">
        <v>21</v>
      </c>
      <c r="F131" s="6">
        <v>8</v>
      </c>
      <c r="G131" s="7">
        <v>7.99</v>
      </c>
      <c r="H131" s="7">
        <v>63.92</v>
      </c>
      <c r="I131" s="5" t="s">
        <v>42</v>
      </c>
    </row>
    <row r="132" spans="1:9" x14ac:dyDescent="0.2">
      <c r="A132" s="2" t="s">
        <v>307</v>
      </c>
      <c r="B132" s="2" t="s">
        <v>308</v>
      </c>
      <c r="C132" s="2" t="s">
        <v>16</v>
      </c>
      <c r="D132" s="2" t="s">
        <v>72</v>
      </c>
      <c r="E132" s="2" t="s">
        <v>23</v>
      </c>
      <c r="F132" s="3">
        <v>1</v>
      </c>
      <c r="G132" s="4">
        <v>17.32</v>
      </c>
      <c r="H132" s="4">
        <v>17.32</v>
      </c>
      <c r="I132" s="2" t="s">
        <v>35</v>
      </c>
    </row>
    <row r="133" spans="1:9" x14ac:dyDescent="0.2">
      <c r="A133" s="5" t="s">
        <v>309</v>
      </c>
      <c r="B133" s="5" t="s">
        <v>310</v>
      </c>
      <c r="C133" s="5" t="s">
        <v>20</v>
      </c>
      <c r="D133" s="5" t="s">
        <v>48</v>
      </c>
      <c r="E133" s="5" t="s">
        <v>17</v>
      </c>
      <c r="F133" s="6">
        <v>5</v>
      </c>
      <c r="G133" s="7">
        <v>4.72</v>
      </c>
      <c r="H133" s="7">
        <v>23.6</v>
      </c>
      <c r="I133" s="5" t="s">
        <v>49</v>
      </c>
    </row>
    <row r="134" spans="1:9" x14ac:dyDescent="0.2">
      <c r="A134" s="2" t="s">
        <v>311</v>
      </c>
      <c r="B134" s="2" t="s">
        <v>312</v>
      </c>
      <c r="C134" s="2" t="s">
        <v>20</v>
      </c>
      <c r="D134" s="2" t="s">
        <v>41</v>
      </c>
      <c r="E134" s="2" t="s">
        <v>23</v>
      </c>
      <c r="F134" s="3">
        <v>2</v>
      </c>
      <c r="G134" s="4">
        <v>13.92</v>
      </c>
      <c r="H134" s="4">
        <v>27.84</v>
      </c>
      <c r="I134" s="2" t="s">
        <v>42</v>
      </c>
    </row>
    <row r="135" spans="1:9" x14ac:dyDescent="0.2">
      <c r="A135" s="5" t="s">
        <v>313</v>
      </c>
      <c r="B135" s="5" t="s">
        <v>314</v>
      </c>
      <c r="C135" s="5" t="s">
        <v>22</v>
      </c>
      <c r="D135" s="5" t="s">
        <v>107</v>
      </c>
      <c r="E135" s="5" t="s">
        <v>23</v>
      </c>
      <c r="F135" s="6">
        <v>8</v>
      </c>
      <c r="G135" s="7">
        <v>14.93</v>
      </c>
      <c r="H135" s="7">
        <v>119.44</v>
      </c>
      <c r="I135" s="5" t="s">
        <v>49</v>
      </c>
    </row>
    <row r="136" spans="1:9" x14ac:dyDescent="0.2">
      <c r="A136" s="2" t="s">
        <v>315</v>
      </c>
      <c r="B136" s="2" t="s">
        <v>316</v>
      </c>
      <c r="C136" s="2" t="s">
        <v>16</v>
      </c>
      <c r="D136" s="2" t="s">
        <v>72</v>
      </c>
      <c r="E136" s="2" t="s">
        <v>19</v>
      </c>
      <c r="F136" s="3">
        <v>8</v>
      </c>
      <c r="G136" s="4">
        <v>5.76</v>
      </c>
      <c r="H136" s="4">
        <v>46.08</v>
      </c>
      <c r="I136" s="2" t="s">
        <v>49</v>
      </c>
    </row>
    <row r="137" spans="1:9" x14ac:dyDescent="0.2">
      <c r="A137" s="5" t="s">
        <v>317</v>
      </c>
      <c r="B137" s="5" t="s">
        <v>318</v>
      </c>
      <c r="C137" s="5" t="s">
        <v>16</v>
      </c>
      <c r="D137" s="5" t="s">
        <v>72</v>
      </c>
      <c r="E137" s="5" t="s">
        <v>23</v>
      </c>
      <c r="F137" s="6">
        <v>4</v>
      </c>
      <c r="G137" s="7">
        <v>15.94</v>
      </c>
      <c r="H137" s="7">
        <v>63.76</v>
      </c>
      <c r="I137" s="5" t="s">
        <v>49</v>
      </c>
    </row>
    <row r="138" spans="1:9" x14ac:dyDescent="0.2">
      <c r="A138" s="2" t="s">
        <v>319</v>
      </c>
      <c r="B138" s="2" t="s">
        <v>320</v>
      </c>
      <c r="C138" s="2" t="s">
        <v>20</v>
      </c>
      <c r="D138" s="2" t="s">
        <v>45</v>
      </c>
      <c r="E138" s="2" t="s">
        <v>17</v>
      </c>
      <c r="F138" s="3">
        <v>2</v>
      </c>
      <c r="G138" s="4">
        <v>3.52</v>
      </c>
      <c r="H138" s="4">
        <v>7.04</v>
      </c>
      <c r="I138" s="2" t="s">
        <v>53</v>
      </c>
    </row>
    <row r="139" spans="1:9" x14ac:dyDescent="0.2">
      <c r="A139" s="5" t="s">
        <v>321</v>
      </c>
      <c r="B139" s="5" t="s">
        <v>322</v>
      </c>
      <c r="C139" s="5" t="s">
        <v>14</v>
      </c>
      <c r="D139" s="5" t="s">
        <v>69</v>
      </c>
      <c r="E139" s="5" t="s">
        <v>23</v>
      </c>
      <c r="F139" s="6">
        <v>5</v>
      </c>
      <c r="G139" s="7">
        <v>16.04</v>
      </c>
      <c r="H139" s="7">
        <v>80.2</v>
      </c>
      <c r="I139" s="5" t="s">
        <v>42</v>
      </c>
    </row>
    <row r="140" spans="1:9" x14ac:dyDescent="0.2">
      <c r="A140" s="2" t="s">
        <v>323</v>
      </c>
      <c r="B140" s="2" t="s">
        <v>324</v>
      </c>
      <c r="C140" s="2" t="s">
        <v>16</v>
      </c>
      <c r="D140" s="2" t="s">
        <v>72</v>
      </c>
      <c r="E140" s="2" t="s">
        <v>21</v>
      </c>
      <c r="F140" s="3">
        <v>5</v>
      </c>
      <c r="G140" s="4">
        <v>8.8000000000000007</v>
      </c>
      <c r="H140" s="4">
        <v>44</v>
      </c>
      <c r="I140" s="2" t="s">
        <v>42</v>
      </c>
    </row>
    <row r="141" spans="1:9" x14ac:dyDescent="0.2">
      <c r="A141" s="5" t="s">
        <v>325</v>
      </c>
      <c r="B141" s="5" t="s">
        <v>326</v>
      </c>
      <c r="C141" s="5" t="s">
        <v>22</v>
      </c>
      <c r="D141" s="5" t="s">
        <v>79</v>
      </c>
      <c r="E141" s="5" t="s">
        <v>23</v>
      </c>
      <c r="F141" s="6">
        <v>1</v>
      </c>
      <c r="G141" s="7">
        <v>19.420000000000002</v>
      </c>
      <c r="H141" s="7">
        <v>19.420000000000002</v>
      </c>
      <c r="I141" s="5" t="s">
        <v>53</v>
      </c>
    </row>
    <row r="142" spans="1:9" x14ac:dyDescent="0.2">
      <c r="A142" s="2" t="s">
        <v>327</v>
      </c>
      <c r="B142" s="2" t="s">
        <v>328</v>
      </c>
      <c r="C142" s="2" t="s">
        <v>14</v>
      </c>
      <c r="D142" s="2" t="s">
        <v>56</v>
      </c>
      <c r="E142" s="2" t="s">
        <v>15</v>
      </c>
      <c r="F142" s="3">
        <v>2</v>
      </c>
      <c r="G142" s="4">
        <v>5.3</v>
      </c>
      <c r="H142" s="4">
        <v>10.6</v>
      </c>
      <c r="I142" s="2" t="s">
        <v>35</v>
      </c>
    </row>
    <row r="143" spans="1:9" x14ac:dyDescent="0.2">
      <c r="A143" s="5" t="s">
        <v>329</v>
      </c>
      <c r="B143" s="5" t="s">
        <v>330</v>
      </c>
      <c r="C143" s="5" t="s">
        <v>16</v>
      </c>
      <c r="D143" s="5" t="s">
        <v>72</v>
      </c>
      <c r="E143" s="5" t="s">
        <v>15</v>
      </c>
      <c r="F143" s="6">
        <v>3</v>
      </c>
      <c r="G143" s="7">
        <v>5.97</v>
      </c>
      <c r="H143" s="7">
        <v>17.91</v>
      </c>
      <c r="I143" s="5" t="s">
        <v>42</v>
      </c>
    </row>
    <row r="144" spans="1:9" x14ac:dyDescent="0.2">
      <c r="A144" s="2" t="s">
        <v>331</v>
      </c>
      <c r="B144" s="2" t="s">
        <v>332</v>
      </c>
      <c r="C144" s="2" t="s">
        <v>16</v>
      </c>
      <c r="D144" s="2" t="s">
        <v>52</v>
      </c>
      <c r="E144" s="2" t="s">
        <v>23</v>
      </c>
      <c r="F144" s="3">
        <v>7</v>
      </c>
      <c r="G144" s="4">
        <v>17.510000000000002</v>
      </c>
      <c r="H144" s="4">
        <v>122.57</v>
      </c>
      <c r="I144" s="2" t="s">
        <v>42</v>
      </c>
    </row>
    <row r="145" spans="1:9" x14ac:dyDescent="0.2">
      <c r="A145" s="5" t="s">
        <v>333</v>
      </c>
      <c r="B145" s="5" t="s">
        <v>334</v>
      </c>
      <c r="C145" s="5" t="s">
        <v>18</v>
      </c>
      <c r="D145" s="5" t="s">
        <v>64</v>
      </c>
      <c r="E145" s="5" t="s">
        <v>19</v>
      </c>
      <c r="F145" s="6">
        <v>7</v>
      </c>
      <c r="G145" s="7">
        <v>6.61</v>
      </c>
      <c r="H145" s="7">
        <v>46.27</v>
      </c>
      <c r="I145" s="5" t="s">
        <v>35</v>
      </c>
    </row>
    <row r="146" spans="1:9" x14ac:dyDescent="0.2">
      <c r="A146" s="2" t="s">
        <v>335</v>
      </c>
      <c r="B146" s="2" t="s">
        <v>336</v>
      </c>
      <c r="C146" s="2" t="s">
        <v>20</v>
      </c>
      <c r="D146" s="2" t="s">
        <v>45</v>
      </c>
      <c r="E146" s="2" t="s">
        <v>21</v>
      </c>
      <c r="F146" s="3">
        <v>8</v>
      </c>
      <c r="G146" s="4">
        <v>7.95</v>
      </c>
      <c r="H146" s="4">
        <v>63.6</v>
      </c>
      <c r="I146" s="2" t="s">
        <v>42</v>
      </c>
    </row>
    <row r="147" spans="1:9" x14ac:dyDescent="0.2">
      <c r="A147" s="5" t="s">
        <v>337</v>
      </c>
      <c r="B147" s="5" t="s">
        <v>338</v>
      </c>
      <c r="C147" s="5" t="s">
        <v>14</v>
      </c>
      <c r="D147" s="5" t="s">
        <v>38</v>
      </c>
      <c r="E147" s="5" t="s">
        <v>21</v>
      </c>
      <c r="F147" s="6">
        <v>2</v>
      </c>
      <c r="G147" s="7">
        <v>8.06</v>
      </c>
      <c r="H147" s="7">
        <v>16.12</v>
      </c>
      <c r="I147" s="5" t="s">
        <v>53</v>
      </c>
    </row>
    <row r="148" spans="1:9" x14ac:dyDescent="0.2">
      <c r="A148" s="2" t="s">
        <v>339</v>
      </c>
      <c r="B148" s="2" t="s">
        <v>340</v>
      </c>
      <c r="C148" s="2" t="s">
        <v>18</v>
      </c>
      <c r="D148" s="2" t="s">
        <v>64</v>
      </c>
      <c r="E148" s="2" t="s">
        <v>23</v>
      </c>
      <c r="F148" s="3">
        <v>1</v>
      </c>
      <c r="G148" s="4">
        <v>17.68</v>
      </c>
      <c r="H148" s="4">
        <v>17.68</v>
      </c>
      <c r="I148" s="2" t="s">
        <v>42</v>
      </c>
    </row>
    <row r="149" spans="1:9" x14ac:dyDescent="0.2">
      <c r="A149" s="5" t="s">
        <v>341</v>
      </c>
      <c r="B149" s="5" t="s">
        <v>342</v>
      </c>
      <c r="C149" s="5" t="s">
        <v>22</v>
      </c>
      <c r="D149" s="5" t="s">
        <v>79</v>
      </c>
      <c r="E149" s="5" t="s">
        <v>17</v>
      </c>
      <c r="F149" s="6">
        <v>6</v>
      </c>
      <c r="G149" s="7">
        <v>4.6500000000000004</v>
      </c>
      <c r="H149" s="7">
        <v>27.9</v>
      </c>
      <c r="I149" s="5" t="s">
        <v>42</v>
      </c>
    </row>
    <row r="150" spans="1:9" x14ac:dyDescent="0.2">
      <c r="A150" s="2" t="s">
        <v>343</v>
      </c>
      <c r="B150" s="2" t="s">
        <v>344</v>
      </c>
      <c r="C150" s="2" t="s">
        <v>22</v>
      </c>
      <c r="D150" s="2" t="s">
        <v>79</v>
      </c>
      <c r="E150" s="2" t="s">
        <v>17</v>
      </c>
      <c r="F150" s="3">
        <v>5</v>
      </c>
      <c r="G150" s="4">
        <v>4.5</v>
      </c>
      <c r="H150" s="4">
        <v>22.5</v>
      </c>
      <c r="I150" s="2" t="s">
        <v>53</v>
      </c>
    </row>
    <row r="151" spans="1:9" x14ac:dyDescent="0.2">
      <c r="A151" s="5" t="s">
        <v>345</v>
      </c>
      <c r="B151" s="5" t="s">
        <v>346</v>
      </c>
      <c r="C151" s="5" t="s">
        <v>22</v>
      </c>
      <c r="D151" s="5" t="s">
        <v>107</v>
      </c>
      <c r="E151" s="5" t="s">
        <v>21</v>
      </c>
      <c r="F151" s="6">
        <v>2</v>
      </c>
      <c r="G151" s="7">
        <v>6.92</v>
      </c>
      <c r="H151" s="7">
        <v>13.84</v>
      </c>
      <c r="I151" s="5" t="s">
        <v>49</v>
      </c>
    </row>
    <row r="152" spans="1:9" x14ac:dyDescent="0.2">
      <c r="A152" s="2" t="s">
        <v>347</v>
      </c>
      <c r="B152" s="2" t="s">
        <v>348</v>
      </c>
      <c r="C152" s="2" t="s">
        <v>20</v>
      </c>
      <c r="D152" s="2" t="s">
        <v>45</v>
      </c>
      <c r="E152" s="2" t="s">
        <v>23</v>
      </c>
      <c r="F152" s="3">
        <v>1</v>
      </c>
      <c r="G152" s="4">
        <v>16.89</v>
      </c>
      <c r="H152" s="4">
        <v>16.89</v>
      </c>
      <c r="I152" s="2" t="s">
        <v>35</v>
      </c>
    </row>
    <row r="153" spans="1:9" x14ac:dyDescent="0.2">
      <c r="A153" s="5" t="s">
        <v>349</v>
      </c>
      <c r="B153" s="5" t="s">
        <v>350</v>
      </c>
      <c r="C153" s="5" t="s">
        <v>20</v>
      </c>
      <c r="D153" s="5" t="s">
        <v>41</v>
      </c>
      <c r="E153" s="5" t="s">
        <v>21</v>
      </c>
      <c r="F153" s="6">
        <v>2</v>
      </c>
      <c r="G153" s="7">
        <v>9.39</v>
      </c>
      <c r="H153" s="7">
        <v>18.78</v>
      </c>
      <c r="I153" s="5" t="s">
        <v>49</v>
      </c>
    </row>
    <row r="154" spans="1:9" x14ac:dyDescent="0.2">
      <c r="A154" s="2" t="s">
        <v>351</v>
      </c>
      <c r="B154" s="2" t="s">
        <v>352</v>
      </c>
      <c r="C154" s="2" t="s">
        <v>22</v>
      </c>
      <c r="D154" s="2" t="s">
        <v>107</v>
      </c>
      <c r="E154" s="2" t="s">
        <v>19</v>
      </c>
      <c r="F154" s="3">
        <v>5</v>
      </c>
      <c r="G154" s="4">
        <v>6.88</v>
      </c>
      <c r="H154" s="4">
        <v>34.4</v>
      </c>
      <c r="I154" s="2" t="s">
        <v>42</v>
      </c>
    </row>
    <row r="155" spans="1:9" x14ac:dyDescent="0.2">
      <c r="A155" s="5" t="s">
        <v>353</v>
      </c>
      <c r="B155" s="5" t="s">
        <v>354</v>
      </c>
      <c r="C155" s="5" t="s">
        <v>22</v>
      </c>
      <c r="D155" s="5" t="s">
        <v>79</v>
      </c>
      <c r="E155" s="5" t="s">
        <v>21</v>
      </c>
      <c r="F155" s="6">
        <v>3</v>
      </c>
      <c r="G155" s="7">
        <v>8.33</v>
      </c>
      <c r="H155" s="7">
        <v>24.99</v>
      </c>
      <c r="I155" s="5" t="s">
        <v>49</v>
      </c>
    </row>
    <row r="156" spans="1:9" x14ac:dyDescent="0.2">
      <c r="A156" s="2" t="s">
        <v>355</v>
      </c>
      <c r="B156" s="2" t="s">
        <v>356</v>
      </c>
      <c r="C156" s="2" t="s">
        <v>18</v>
      </c>
      <c r="D156" s="2" t="s">
        <v>64</v>
      </c>
      <c r="E156" s="2" t="s">
        <v>21</v>
      </c>
      <c r="F156" s="3">
        <v>6</v>
      </c>
      <c r="G156" s="4">
        <v>10.54</v>
      </c>
      <c r="H156" s="4">
        <v>63.24</v>
      </c>
      <c r="I156" s="2" t="s">
        <v>53</v>
      </c>
    </row>
    <row r="157" spans="1:9" x14ac:dyDescent="0.2">
      <c r="A157" s="5" t="s">
        <v>357</v>
      </c>
      <c r="B157" s="5" t="s">
        <v>358</v>
      </c>
      <c r="C157" s="5" t="s">
        <v>18</v>
      </c>
      <c r="D157" s="5" t="s">
        <v>64</v>
      </c>
      <c r="E157" s="5" t="s">
        <v>19</v>
      </c>
      <c r="F157" s="6">
        <v>8</v>
      </c>
      <c r="G157" s="7">
        <v>8.34</v>
      </c>
      <c r="H157" s="7">
        <v>66.72</v>
      </c>
      <c r="I157" s="5" t="s">
        <v>42</v>
      </c>
    </row>
    <row r="158" spans="1:9" x14ac:dyDescent="0.2">
      <c r="A158" s="2" t="s">
        <v>359</v>
      </c>
      <c r="B158" s="2" t="s">
        <v>360</v>
      </c>
      <c r="C158" s="2" t="s">
        <v>14</v>
      </c>
      <c r="D158" s="2" t="s">
        <v>56</v>
      </c>
      <c r="E158" s="2" t="s">
        <v>19</v>
      </c>
      <c r="F158" s="3">
        <v>6</v>
      </c>
      <c r="G158" s="4">
        <v>7.32</v>
      </c>
      <c r="H158" s="4">
        <v>43.92</v>
      </c>
      <c r="I158" s="2" t="s">
        <v>42</v>
      </c>
    </row>
    <row r="159" spans="1:9" x14ac:dyDescent="0.2">
      <c r="A159" s="5" t="s">
        <v>361</v>
      </c>
      <c r="B159" s="5" t="s">
        <v>362</v>
      </c>
      <c r="C159" s="5" t="s">
        <v>22</v>
      </c>
      <c r="D159" s="5" t="s">
        <v>120</v>
      </c>
      <c r="E159" s="5" t="s">
        <v>17</v>
      </c>
      <c r="F159" s="6">
        <v>4</v>
      </c>
      <c r="G159" s="7">
        <v>4.54</v>
      </c>
      <c r="H159" s="7">
        <v>18.16</v>
      </c>
      <c r="I159" s="5" t="s">
        <v>49</v>
      </c>
    </row>
    <row r="160" spans="1:9" x14ac:dyDescent="0.2">
      <c r="A160" s="2" t="s">
        <v>363</v>
      </c>
      <c r="B160" s="2" t="s">
        <v>364</v>
      </c>
      <c r="C160" s="2" t="s">
        <v>22</v>
      </c>
      <c r="D160" s="2" t="s">
        <v>79</v>
      </c>
      <c r="E160" s="2" t="s">
        <v>19</v>
      </c>
      <c r="F160" s="3">
        <v>8</v>
      </c>
      <c r="G160" s="4">
        <v>7.82</v>
      </c>
      <c r="H160" s="4">
        <v>62.56</v>
      </c>
      <c r="I160" s="2" t="s">
        <v>42</v>
      </c>
    </row>
    <row r="161" spans="1:9" x14ac:dyDescent="0.2">
      <c r="A161" s="5" t="s">
        <v>365</v>
      </c>
      <c r="B161" s="5" t="s">
        <v>366</v>
      </c>
      <c r="C161" s="5" t="s">
        <v>22</v>
      </c>
      <c r="D161" s="5" t="s">
        <v>107</v>
      </c>
      <c r="E161" s="5" t="s">
        <v>17</v>
      </c>
      <c r="F161" s="6">
        <v>8</v>
      </c>
      <c r="G161" s="7">
        <v>5.33</v>
      </c>
      <c r="H161" s="7">
        <v>42.64</v>
      </c>
      <c r="I161" s="5" t="s">
        <v>49</v>
      </c>
    </row>
    <row r="162" spans="1:9" x14ac:dyDescent="0.2">
      <c r="A162" s="2" t="s">
        <v>367</v>
      </c>
      <c r="B162" s="2" t="s">
        <v>368</v>
      </c>
      <c r="C162" s="2" t="s">
        <v>14</v>
      </c>
      <c r="D162" s="2" t="s">
        <v>69</v>
      </c>
      <c r="E162" s="2" t="s">
        <v>19</v>
      </c>
      <c r="F162" s="3">
        <v>2</v>
      </c>
      <c r="G162" s="4">
        <v>8.3699999999999992</v>
      </c>
      <c r="H162" s="4">
        <v>16.739999999999998</v>
      </c>
      <c r="I162" s="2" t="s">
        <v>42</v>
      </c>
    </row>
    <row r="163" spans="1:9" x14ac:dyDescent="0.2">
      <c r="A163" s="5" t="s">
        <v>369</v>
      </c>
      <c r="B163" s="5" t="s">
        <v>370</v>
      </c>
      <c r="C163" s="5" t="s">
        <v>18</v>
      </c>
      <c r="D163" s="5" t="s">
        <v>59</v>
      </c>
      <c r="E163" s="5" t="s">
        <v>21</v>
      </c>
      <c r="F163" s="6">
        <v>1</v>
      </c>
      <c r="G163" s="7">
        <v>9.69</v>
      </c>
      <c r="H163" s="7">
        <v>9.69</v>
      </c>
      <c r="I163" s="5" t="s">
        <v>42</v>
      </c>
    </row>
    <row r="164" spans="1:9" x14ac:dyDescent="0.2">
      <c r="A164" s="2" t="s">
        <v>371</v>
      </c>
      <c r="B164" s="2" t="s">
        <v>372</v>
      </c>
      <c r="C164" s="2" t="s">
        <v>20</v>
      </c>
      <c r="D164" s="2" t="s">
        <v>41</v>
      </c>
      <c r="E164" s="2" t="s">
        <v>21</v>
      </c>
      <c r="F164" s="3">
        <v>5</v>
      </c>
      <c r="G164" s="4">
        <v>8.15</v>
      </c>
      <c r="H164" s="4">
        <v>40.75</v>
      </c>
      <c r="I164" s="2" t="s">
        <v>42</v>
      </c>
    </row>
    <row r="165" spans="1:9" x14ac:dyDescent="0.2">
      <c r="A165" s="5" t="s">
        <v>373</v>
      </c>
      <c r="B165" s="5" t="s">
        <v>374</v>
      </c>
      <c r="C165" s="5" t="s">
        <v>18</v>
      </c>
      <c r="D165" s="5" t="s">
        <v>64</v>
      </c>
      <c r="E165" s="5" t="s">
        <v>23</v>
      </c>
      <c r="F165" s="6">
        <v>7</v>
      </c>
      <c r="G165" s="7">
        <v>19.91</v>
      </c>
      <c r="H165" s="7">
        <v>139.37</v>
      </c>
      <c r="I165" s="5" t="s">
        <v>42</v>
      </c>
    </row>
    <row r="166" spans="1:9" x14ac:dyDescent="0.2">
      <c r="A166" s="2" t="s">
        <v>375</v>
      </c>
      <c r="B166" s="2" t="s">
        <v>376</v>
      </c>
      <c r="C166" s="2" t="s">
        <v>14</v>
      </c>
      <c r="D166" s="2" t="s">
        <v>38</v>
      </c>
      <c r="E166" s="2" t="s">
        <v>23</v>
      </c>
      <c r="F166" s="3">
        <v>2</v>
      </c>
      <c r="G166" s="4">
        <v>14.51</v>
      </c>
      <c r="H166" s="4">
        <v>29.02</v>
      </c>
      <c r="I166" s="2" t="s">
        <v>53</v>
      </c>
    </row>
    <row r="167" spans="1:9" x14ac:dyDescent="0.2">
      <c r="A167" s="5" t="s">
        <v>377</v>
      </c>
      <c r="B167" s="5" t="s">
        <v>378</v>
      </c>
      <c r="C167" s="5" t="s">
        <v>20</v>
      </c>
      <c r="D167" s="5" t="s">
        <v>48</v>
      </c>
      <c r="E167" s="5" t="s">
        <v>15</v>
      </c>
      <c r="F167" s="6">
        <v>7</v>
      </c>
      <c r="G167" s="7">
        <v>7.37</v>
      </c>
      <c r="H167" s="7">
        <v>51.59</v>
      </c>
      <c r="I167" s="5" t="s">
        <v>35</v>
      </c>
    </row>
    <row r="168" spans="1:9" x14ac:dyDescent="0.2">
      <c r="A168" s="2" t="s">
        <v>379</v>
      </c>
      <c r="B168" s="2" t="s">
        <v>380</v>
      </c>
      <c r="C168" s="2" t="s">
        <v>22</v>
      </c>
      <c r="D168" s="2" t="s">
        <v>79</v>
      </c>
      <c r="E168" s="2" t="s">
        <v>19</v>
      </c>
      <c r="F168" s="3">
        <v>1</v>
      </c>
      <c r="G168" s="4">
        <v>5.67</v>
      </c>
      <c r="H168" s="4">
        <v>5.67</v>
      </c>
      <c r="I168" s="2" t="s">
        <v>35</v>
      </c>
    </row>
    <row r="169" spans="1:9" x14ac:dyDescent="0.2">
      <c r="A169" s="5" t="s">
        <v>381</v>
      </c>
      <c r="B169" s="5" t="s">
        <v>382</v>
      </c>
      <c r="C169" s="5" t="s">
        <v>16</v>
      </c>
      <c r="D169" s="5" t="s">
        <v>98</v>
      </c>
      <c r="E169" s="5" t="s">
        <v>19</v>
      </c>
      <c r="F169" s="6">
        <v>7</v>
      </c>
      <c r="G169" s="7">
        <v>6</v>
      </c>
      <c r="H169" s="7">
        <v>42</v>
      </c>
      <c r="I169" s="5" t="s">
        <v>42</v>
      </c>
    </row>
    <row r="170" spans="1:9" x14ac:dyDescent="0.2">
      <c r="A170" s="2" t="s">
        <v>383</v>
      </c>
      <c r="B170" s="2" t="s">
        <v>384</v>
      </c>
      <c r="C170" s="2" t="s">
        <v>14</v>
      </c>
      <c r="D170" s="2" t="s">
        <v>69</v>
      </c>
      <c r="E170" s="2" t="s">
        <v>17</v>
      </c>
      <c r="F170" s="3">
        <v>3</v>
      </c>
      <c r="G170" s="4">
        <v>3.75</v>
      </c>
      <c r="H170" s="4">
        <v>11.25</v>
      </c>
      <c r="I170" s="2" t="s">
        <v>42</v>
      </c>
    </row>
    <row r="171" spans="1:9" x14ac:dyDescent="0.2">
      <c r="A171" s="5" t="s">
        <v>385</v>
      </c>
      <c r="B171" s="5" t="s">
        <v>386</v>
      </c>
      <c r="C171" s="5" t="s">
        <v>14</v>
      </c>
      <c r="D171" s="5" t="s">
        <v>69</v>
      </c>
      <c r="E171" s="5" t="s">
        <v>17</v>
      </c>
      <c r="F171" s="6">
        <v>8</v>
      </c>
      <c r="G171" s="7">
        <v>5.23</v>
      </c>
      <c r="H171" s="7">
        <v>41.84</v>
      </c>
      <c r="I171" s="5" t="s">
        <v>49</v>
      </c>
    </row>
    <row r="172" spans="1:9" x14ac:dyDescent="0.2">
      <c r="A172" s="2" t="s">
        <v>387</v>
      </c>
      <c r="B172" s="2" t="s">
        <v>388</v>
      </c>
      <c r="C172" s="2" t="s">
        <v>20</v>
      </c>
      <c r="D172" s="2" t="s">
        <v>45</v>
      </c>
      <c r="E172" s="2" t="s">
        <v>19</v>
      </c>
      <c r="F172" s="3">
        <v>8</v>
      </c>
      <c r="G172" s="4">
        <v>6.35</v>
      </c>
      <c r="H172" s="4">
        <v>50.8</v>
      </c>
      <c r="I172" s="2" t="s">
        <v>35</v>
      </c>
    </row>
    <row r="173" spans="1:9" x14ac:dyDescent="0.2">
      <c r="A173" s="5" t="s">
        <v>389</v>
      </c>
      <c r="B173" s="5" t="s">
        <v>390</v>
      </c>
      <c r="C173" s="5" t="s">
        <v>22</v>
      </c>
      <c r="D173" s="5" t="s">
        <v>120</v>
      </c>
      <c r="E173" s="5" t="s">
        <v>23</v>
      </c>
      <c r="F173" s="6">
        <v>3</v>
      </c>
      <c r="G173" s="7">
        <v>13.3</v>
      </c>
      <c r="H173" s="7">
        <v>39.9</v>
      </c>
      <c r="I173" s="5" t="s">
        <v>53</v>
      </c>
    </row>
    <row r="174" spans="1:9" x14ac:dyDescent="0.2">
      <c r="A174" s="2" t="s">
        <v>391</v>
      </c>
      <c r="B174" s="2" t="s">
        <v>392</v>
      </c>
      <c r="C174" s="2" t="s">
        <v>14</v>
      </c>
      <c r="D174" s="2" t="s">
        <v>56</v>
      </c>
      <c r="E174" s="2" t="s">
        <v>21</v>
      </c>
      <c r="F174" s="3">
        <v>5</v>
      </c>
      <c r="G174" s="4">
        <v>8.6300000000000008</v>
      </c>
      <c r="H174" s="4">
        <v>43.15</v>
      </c>
      <c r="I174" s="2" t="s">
        <v>53</v>
      </c>
    </row>
    <row r="175" spans="1:9" x14ac:dyDescent="0.2">
      <c r="A175" s="5" t="s">
        <v>393</v>
      </c>
      <c r="B175" s="5" t="s">
        <v>394</v>
      </c>
      <c r="C175" s="5" t="s">
        <v>20</v>
      </c>
      <c r="D175" s="5" t="s">
        <v>45</v>
      </c>
      <c r="E175" s="5" t="s">
        <v>21</v>
      </c>
      <c r="F175" s="6">
        <v>2</v>
      </c>
      <c r="G175" s="7">
        <v>7.75</v>
      </c>
      <c r="H175" s="7">
        <v>15.5</v>
      </c>
      <c r="I175" s="5" t="s">
        <v>53</v>
      </c>
    </row>
    <row r="176" spans="1:9" x14ac:dyDescent="0.2">
      <c r="A176" s="2" t="s">
        <v>395</v>
      </c>
      <c r="B176" s="2" t="s">
        <v>396</v>
      </c>
      <c r="C176" s="2" t="s">
        <v>14</v>
      </c>
      <c r="D176" s="2" t="s">
        <v>56</v>
      </c>
      <c r="E176" s="2" t="s">
        <v>19</v>
      </c>
      <c r="F176" s="3">
        <v>1</v>
      </c>
      <c r="G176" s="4">
        <v>8.6999999999999993</v>
      </c>
      <c r="H176" s="4">
        <v>8.6999999999999993</v>
      </c>
      <c r="I176" s="2" t="s">
        <v>42</v>
      </c>
    </row>
    <row r="177" spans="1:9" x14ac:dyDescent="0.2">
      <c r="A177" s="5" t="s">
        <v>397</v>
      </c>
      <c r="B177" s="5" t="s">
        <v>398</v>
      </c>
      <c r="C177" s="5" t="s">
        <v>16</v>
      </c>
      <c r="D177" s="5" t="s">
        <v>52</v>
      </c>
      <c r="E177" s="5" t="s">
        <v>23</v>
      </c>
      <c r="F177" s="6">
        <v>1</v>
      </c>
      <c r="G177" s="7">
        <v>19.579999999999998</v>
      </c>
      <c r="H177" s="7">
        <v>19.579999999999998</v>
      </c>
      <c r="I177" s="5" t="s">
        <v>42</v>
      </c>
    </row>
    <row r="178" spans="1:9" x14ac:dyDescent="0.2">
      <c r="A178" s="2" t="s">
        <v>399</v>
      </c>
      <c r="B178" s="2" t="s">
        <v>400</v>
      </c>
      <c r="C178" s="2" t="s">
        <v>16</v>
      </c>
      <c r="D178" s="2" t="s">
        <v>52</v>
      </c>
      <c r="E178" s="2" t="s">
        <v>23</v>
      </c>
      <c r="F178" s="3">
        <v>6</v>
      </c>
      <c r="G178" s="4">
        <v>14.39</v>
      </c>
      <c r="H178" s="4">
        <v>86.34</v>
      </c>
      <c r="I178" s="2" t="s">
        <v>49</v>
      </c>
    </row>
    <row r="179" spans="1:9" x14ac:dyDescent="0.2">
      <c r="A179" s="5" t="s">
        <v>401</v>
      </c>
      <c r="B179" s="5" t="s">
        <v>402</v>
      </c>
      <c r="C179" s="5" t="s">
        <v>14</v>
      </c>
      <c r="D179" s="5" t="s">
        <v>56</v>
      </c>
      <c r="E179" s="5" t="s">
        <v>17</v>
      </c>
      <c r="F179" s="6">
        <v>2</v>
      </c>
      <c r="G179" s="7">
        <v>5.21</v>
      </c>
      <c r="H179" s="7">
        <v>10.42</v>
      </c>
      <c r="I179" s="5" t="s">
        <v>35</v>
      </c>
    </row>
    <row r="180" spans="1:9" x14ac:dyDescent="0.2">
      <c r="A180" s="2" t="s">
        <v>403</v>
      </c>
      <c r="B180" s="2" t="s">
        <v>404</v>
      </c>
      <c r="C180" s="2" t="s">
        <v>16</v>
      </c>
      <c r="D180" s="2" t="s">
        <v>98</v>
      </c>
      <c r="E180" s="2" t="s">
        <v>15</v>
      </c>
      <c r="F180" s="3">
        <v>6</v>
      </c>
      <c r="G180" s="4">
        <v>6.69</v>
      </c>
      <c r="H180" s="4">
        <v>40.14</v>
      </c>
      <c r="I180" s="2" t="s">
        <v>35</v>
      </c>
    </row>
    <row r="181" spans="1:9" x14ac:dyDescent="0.2">
      <c r="A181" s="5" t="s">
        <v>405</v>
      </c>
      <c r="B181" s="5" t="s">
        <v>406</v>
      </c>
      <c r="C181" s="5" t="s">
        <v>16</v>
      </c>
      <c r="D181" s="5" t="s">
        <v>98</v>
      </c>
      <c r="E181" s="5" t="s">
        <v>21</v>
      </c>
      <c r="F181" s="6">
        <v>3</v>
      </c>
      <c r="G181" s="7">
        <v>7.6</v>
      </c>
      <c r="H181" s="7">
        <v>22.8</v>
      </c>
      <c r="I181" s="5" t="s">
        <v>53</v>
      </c>
    </row>
    <row r="182" spans="1:9" x14ac:dyDescent="0.2">
      <c r="A182" s="2" t="s">
        <v>407</v>
      </c>
      <c r="B182" s="2" t="s">
        <v>408</v>
      </c>
      <c r="C182" s="2" t="s">
        <v>14</v>
      </c>
      <c r="D182" s="2" t="s">
        <v>69</v>
      </c>
      <c r="E182" s="2" t="s">
        <v>19</v>
      </c>
      <c r="F182" s="3">
        <v>3</v>
      </c>
      <c r="G182" s="4">
        <v>6.36</v>
      </c>
      <c r="H182" s="4">
        <v>19.079999999999998</v>
      </c>
      <c r="I182" s="2" t="s">
        <v>42</v>
      </c>
    </row>
    <row r="183" spans="1:9" x14ac:dyDescent="0.2">
      <c r="A183" s="5" t="s">
        <v>409</v>
      </c>
      <c r="B183" s="5" t="s">
        <v>410</v>
      </c>
      <c r="C183" s="5" t="s">
        <v>16</v>
      </c>
      <c r="D183" s="5" t="s">
        <v>72</v>
      </c>
      <c r="E183" s="5" t="s">
        <v>19</v>
      </c>
      <c r="F183" s="6">
        <v>2</v>
      </c>
      <c r="G183" s="7">
        <v>7.05</v>
      </c>
      <c r="H183" s="7">
        <v>14.1</v>
      </c>
      <c r="I183" s="5" t="s">
        <v>35</v>
      </c>
    </row>
    <row r="184" spans="1:9" x14ac:dyDescent="0.2">
      <c r="A184" s="2" t="s">
        <v>411</v>
      </c>
      <c r="B184" s="2" t="s">
        <v>412</v>
      </c>
      <c r="C184" s="2" t="s">
        <v>20</v>
      </c>
      <c r="D184" s="2" t="s">
        <v>41</v>
      </c>
      <c r="E184" s="2" t="s">
        <v>21</v>
      </c>
      <c r="F184" s="3">
        <v>6</v>
      </c>
      <c r="G184" s="4">
        <v>7.16</v>
      </c>
      <c r="H184" s="4">
        <v>42.96</v>
      </c>
      <c r="I184" s="2" t="s">
        <v>42</v>
      </c>
    </row>
    <row r="185" spans="1:9" x14ac:dyDescent="0.2">
      <c r="A185" s="5" t="s">
        <v>413</v>
      </c>
      <c r="B185" s="5" t="s">
        <v>414</v>
      </c>
      <c r="C185" s="5" t="s">
        <v>18</v>
      </c>
      <c r="D185" s="5" t="s">
        <v>64</v>
      </c>
      <c r="E185" s="5" t="s">
        <v>23</v>
      </c>
      <c r="F185" s="6">
        <v>2</v>
      </c>
      <c r="G185" s="7">
        <v>16.16</v>
      </c>
      <c r="H185" s="7">
        <v>32.32</v>
      </c>
      <c r="I185" s="5" t="s">
        <v>53</v>
      </c>
    </row>
    <row r="186" spans="1:9" x14ac:dyDescent="0.2">
      <c r="A186" s="2" t="s">
        <v>415</v>
      </c>
      <c r="B186" s="2" t="s">
        <v>416</v>
      </c>
      <c r="C186" s="2" t="s">
        <v>14</v>
      </c>
      <c r="D186" s="2" t="s">
        <v>56</v>
      </c>
      <c r="E186" s="2" t="s">
        <v>19</v>
      </c>
      <c r="F186" s="3">
        <v>2</v>
      </c>
      <c r="G186" s="4">
        <v>7.72</v>
      </c>
      <c r="H186" s="4">
        <v>15.44</v>
      </c>
      <c r="I186" s="2" t="s">
        <v>42</v>
      </c>
    </row>
    <row r="187" spans="1:9" x14ac:dyDescent="0.2">
      <c r="A187" s="5" t="s">
        <v>417</v>
      </c>
      <c r="B187" s="5" t="s">
        <v>418</v>
      </c>
      <c r="C187" s="5" t="s">
        <v>18</v>
      </c>
      <c r="D187" s="5" t="s">
        <v>59</v>
      </c>
      <c r="E187" s="5" t="s">
        <v>23</v>
      </c>
      <c r="F187" s="6">
        <v>6</v>
      </c>
      <c r="G187" s="7">
        <v>19.61</v>
      </c>
      <c r="H187" s="7">
        <v>117.66</v>
      </c>
      <c r="I187" s="5" t="s">
        <v>49</v>
      </c>
    </row>
    <row r="188" spans="1:9" x14ac:dyDescent="0.2">
      <c r="A188" s="2" t="s">
        <v>419</v>
      </c>
      <c r="B188" s="2" t="s">
        <v>420</v>
      </c>
      <c r="C188" s="2" t="s">
        <v>18</v>
      </c>
      <c r="D188" s="2" t="s">
        <v>59</v>
      </c>
      <c r="E188" s="2" t="s">
        <v>21</v>
      </c>
      <c r="F188" s="3">
        <v>5</v>
      </c>
      <c r="G188" s="4">
        <v>9.4</v>
      </c>
      <c r="H188" s="4">
        <v>47</v>
      </c>
      <c r="I188" s="2" t="s">
        <v>35</v>
      </c>
    </row>
    <row r="189" spans="1:9" x14ac:dyDescent="0.2">
      <c r="A189" s="5" t="s">
        <v>421</v>
      </c>
      <c r="B189" s="5" t="s">
        <v>422</v>
      </c>
      <c r="C189" s="5" t="s">
        <v>20</v>
      </c>
      <c r="D189" s="5" t="s">
        <v>41</v>
      </c>
      <c r="E189" s="5" t="s">
        <v>15</v>
      </c>
      <c r="F189" s="6">
        <v>5</v>
      </c>
      <c r="G189" s="7">
        <v>7.41</v>
      </c>
      <c r="H189" s="7">
        <v>37.049999999999997</v>
      </c>
      <c r="I189" s="5" t="s">
        <v>35</v>
      </c>
    </row>
    <row r="190" spans="1:9" x14ac:dyDescent="0.2">
      <c r="A190" s="2" t="s">
        <v>423</v>
      </c>
      <c r="B190" s="2" t="s">
        <v>424</v>
      </c>
      <c r="C190" s="2" t="s">
        <v>18</v>
      </c>
      <c r="D190" s="2" t="s">
        <v>34</v>
      </c>
      <c r="E190" s="2" t="s">
        <v>23</v>
      </c>
      <c r="F190" s="3">
        <v>3</v>
      </c>
      <c r="G190" s="4">
        <v>15.66</v>
      </c>
      <c r="H190" s="4">
        <v>46.98</v>
      </c>
      <c r="I190" s="2" t="s">
        <v>53</v>
      </c>
    </row>
    <row r="191" spans="1:9" x14ac:dyDescent="0.2">
      <c r="A191" s="5" t="s">
        <v>425</v>
      </c>
      <c r="B191" s="5" t="s">
        <v>426</v>
      </c>
      <c r="C191" s="5" t="s">
        <v>14</v>
      </c>
      <c r="D191" s="5" t="s">
        <v>56</v>
      </c>
      <c r="E191" s="5" t="s">
        <v>23</v>
      </c>
      <c r="F191" s="6">
        <v>3</v>
      </c>
      <c r="G191" s="7">
        <v>19.39</v>
      </c>
      <c r="H191" s="7">
        <v>58.17</v>
      </c>
      <c r="I191" s="5" t="s">
        <v>35</v>
      </c>
    </row>
    <row r="192" spans="1:9" x14ac:dyDescent="0.2">
      <c r="A192" s="2" t="s">
        <v>427</v>
      </c>
      <c r="B192" s="2" t="s">
        <v>428</v>
      </c>
      <c r="C192" s="2" t="s">
        <v>22</v>
      </c>
      <c r="D192" s="2" t="s">
        <v>107</v>
      </c>
      <c r="E192" s="2" t="s">
        <v>21</v>
      </c>
      <c r="F192" s="3">
        <v>5</v>
      </c>
      <c r="G192" s="4">
        <v>6.93</v>
      </c>
      <c r="H192" s="4">
        <v>34.65</v>
      </c>
      <c r="I192" s="2" t="s">
        <v>53</v>
      </c>
    </row>
    <row r="193" spans="1:9" x14ac:dyDescent="0.2">
      <c r="A193" s="5" t="s">
        <v>429</v>
      </c>
      <c r="B193" s="5" t="s">
        <v>430</v>
      </c>
      <c r="C193" s="5" t="s">
        <v>20</v>
      </c>
      <c r="D193" s="5" t="s">
        <v>45</v>
      </c>
      <c r="E193" s="5" t="s">
        <v>21</v>
      </c>
      <c r="F193" s="6">
        <v>4</v>
      </c>
      <c r="G193" s="7">
        <v>10.220000000000001</v>
      </c>
      <c r="H193" s="7">
        <v>40.880000000000003</v>
      </c>
      <c r="I193" s="5" t="s">
        <v>35</v>
      </c>
    </row>
    <row r="194" spans="1:9" x14ac:dyDescent="0.2">
      <c r="A194" s="2" t="s">
        <v>431</v>
      </c>
      <c r="B194" s="2" t="s">
        <v>432</v>
      </c>
      <c r="C194" s="2" t="s">
        <v>16</v>
      </c>
      <c r="D194" s="2" t="s">
        <v>72</v>
      </c>
      <c r="E194" s="2" t="s">
        <v>19</v>
      </c>
      <c r="F194" s="3">
        <v>1</v>
      </c>
      <c r="G194" s="4">
        <v>6.82</v>
      </c>
      <c r="H194" s="4">
        <v>6.82</v>
      </c>
      <c r="I194" s="2" t="s">
        <v>49</v>
      </c>
    </row>
    <row r="195" spans="1:9" x14ac:dyDescent="0.2">
      <c r="A195" s="5" t="s">
        <v>433</v>
      </c>
      <c r="B195" s="5" t="s">
        <v>434</v>
      </c>
      <c r="C195" s="5" t="s">
        <v>18</v>
      </c>
      <c r="D195" s="5" t="s">
        <v>64</v>
      </c>
      <c r="E195" s="5" t="s">
        <v>15</v>
      </c>
      <c r="F195" s="6">
        <v>4</v>
      </c>
      <c r="G195" s="7">
        <v>6.44</v>
      </c>
      <c r="H195" s="7">
        <v>25.76</v>
      </c>
      <c r="I195" s="5" t="s">
        <v>35</v>
      </c>
    </row>
    <row r="196" spans="1:9" x14ac:dyDescent="0.2">
      <c r="A196" s="2" t="s">
        <v>435</v>
      </c>
      <c r="B196" s="2" t="s">
        <v>436</v>
      </c>
      <c r="C196" s="2" t="s">
        <v>18</v>
      </c>
      <c r="D196" s="2" t="s">
        <v>64</v>
      </c>
      <c r="E196" s="2" t="s">
        <v>17</v>
      </c>
      <c r="F196" s="3">
        <v>3</v>
      </c>
      <c r="G196" s="4">
        <v>4.97</v>
      </c>
      <c r="H196" s="4">
        <v>14.91</v>
      </c>
      <c r="I196" s="2" t="s">
        <v>49</v>
      </c>
    </row>
    <row r="197" spans="1:9" x14ac:dyDescent="0.2">
      <c r="A197" s="5" t="s">
        <v>437</v>
      </c>
      <c r="B197" s="5" t="s">
        <v>438</v>
      </c>
      <c r="C197" s="5" t="s">
        <v>18</v>
      </c>
      <c r="D197" s="5" t="s">
        <v>59</v>
      </c>
      <c r="E197" s="5" t="s">
        <v>17</v>
      </c>
      <c r="F197" s="6">
        <v>4</v>
      </c>
      <c r="G197" s="7">
        <v>5.03</v>
      </c>
      <c r="H197" s="7">
        <v>20.12</v>
      </c>
      <c r="I197" s="5" t="s">
        <v>49</v>
      </c>
    </row>
    <row r="198" spans="1:9" x14ac:dyDescent="0.2">
      <c r="A198" s="2" t="s">
        <v>439</v>
      </c>
      <c r="B198" s="2" t="s">
        <v>440</v>
      </c>
      <c r="C198" s="2" t="s">
        <v>16</v>
      </c>
      <c r="D198" s="2" t="s">
        <v>52</v>
      </c>
      <c r="E198" s="2" t="s">
        <v>23</v>
      </c>
      <c r="F198" s="3">
        <v>1</v>
      </c>
      <c r="G198" s="4">
        <v>14.83</v>
      </c>
      <c r="H198" s="4">
        <v>14.83</v>
      </c>
      <c r="I198" s="2" t="s">
        <v>49</v>
      </c>
    </row>
    <row r="199" spans="1:9" x14ac:dyDescent="0.2">
      <c r="A199" s="5" t="s">
        <v>441</v>
      </c>
      <c r="B199" s="5" t="s">
        <v>442</v>
      </c>
      <c r="C199" s="5" t="s">
        <v>20</v>
      </c>
      <c r="D199" s="5" t="s">
        <v>48</v>
      </c>
      <c r="E199" s="5" t="s">
        <v>19</v>
      </c>
      <c r="F199" s="6">
        <v>3</v>
      </c>
      <c r="G199" s="7">
        <v>5.88</v>
      </c>
      <c r="H199" s="7">
        <v>17.64</v>
      </c>
      <c r="I199" s="5" t="s">
        <v>35</v>
      </c>
    </row>
    <row r="200" spans="1:9" x14ac:dyDescent="0.2">
      <c r="A200" s="2" t="s">
        <v>443</v>
      </c>
      <c r="B200" s="2" t="s">
        <v>444</v>
      </c>
      <c r="C200" s="2" t="s">
        <v>20</v>
      </c>
      <c r="D200" s="2" t="s">
        <v>41</v>
      </c>
      <c r="E200" s="2" t="s">
        <v>19</v>
      </c>
      <c r="F200" s="3">
        <v>4</v>
      </c>
      <c r="G200" s="4">
        <v>7.44</v>
      </c>
      <c r="H200" s="4">
        <v>29.76</v>
      </c>
      <c r="I200" s="2" t="s">
        <v>35</v>
      </c>
    </row>
    <row r="201" spans="1:9" x14ac:dyDescent="0.2">
      <c r="A201" s="5" t="s">
        <v>445</v>
      </c>
      <c r="B201" s="5" t="s">
        <v>446</v>
      </c>
      <c r="C201" s="5" t="s">
        <v>20</v>
      </c>
      <c r="D201" s="5" t="s">
        <v>45</v>
      </c>
      <c r="E201" s="5" t="s">
        <v>15</v>
      </c>
      <c r="F201" s="6">
        <v>3</v>
      </c>
      <c r="G201" s="7">
        <v>6.71</v>
      </c>
      <c r="H201" s="7">
        <v>20.13</v>
      </c>
      <c r="I201" s="5" t="s">
        <v>35</v>
      </c>
    </row>
    <row r="202" spans="1:9" x14ac:dyDescent="0.2">
      <c r="A202" s="2" t="s">
        <v>447</v>
      </c>
      <c r="B202" s="2" t="s">
        <v>448</v>
      </c>
      <c r="C202" s="2" t="s">
        <v>18</v>
      </c>
      <c r="D202" s="2" t="s">
        <v>64</v>
      </c>
      <c r="E202" s="2" t="s">
        <v>21</v>
      </c>
      <c r="F202" s="3">
        <v>6</v>
      </c>
      <c r="G202" s="4">
        <v>8.85</v>
      </c>
      <c r="H202" s="4">
        <v>53.1</v>
      </c>
      <c r="I202" s="2" t="s">
        <v>35</v>
      </c>
    </row>
    <row r="203" spans="1:9" x14ac:dyDescent="0.2">
      <c r="A203" s="5" t="s">
        <v>449</v>
      </c>
      <c r="B203" s="5" t="s">
        <v>450</v>
      </c>
      <c r="C203" s="5" t="s">
        <v>22</v>
      </c>
      <c r="D203" s="5" t="s">
        <v>107</v>
      </c>
      <c r="E203" s="5" t="s">
        <v>17</v>
      </c>
      <c r="F203" s="6">
        <v>1</v>
      </c>
      <c r="G203" s="7">
        <v>4.8499999999999996</v>
      </c>
      <c r="H203" s="7">
        <v>4.8499999999999996</v>
      </c>
      <c r="I203" s="5" t="s">
        <v>53</v>
      </c>
    </row>
    <row r="204" spans="1:9" x14ac:dyDescent="0.2">
      <c r="A204" s="2" t="s">
        <v>451</v>
      </c>
      <c r="B204" s="2" t="s">
        <v>452</v>
      </c>
      <c r="C204" s="2" t="s">
        <v>22</v>
      </c>
      <c r="D204" s="2" t="s">
        <v>107</v>
      </c>
      <c r="E204" s="2" t="s">
        <v>15</v>
      </c>
      <c r="F204" s="3">
        <v>1</v>
      </c>
      <c r="G204" s="4">
        <v>7.42</v>
      </c>
      <c r="H204" s="4">
        <v>7.42</v>
      </c>
      <c r="I204" s="2" t="s">
        <v>42</v>
      </c>
    </row>
    <row r="205" spans="1:9" x14ac:dyDescent="0.2">
      <c r="A205" s="5" t="s">
        <v>453</v>
      </c>
      <c r="B205" s="5" t="s">
        <v>454</v>
      </c>
      <c r="C205" s="5" t="s">
        <v>22</v>
      </c>
      <c r="D205" s="5" t="s">
        <v>107</v>
      </c>
      <c r="E205" s="5" t="s">
        <v>15</v>
      </c>
      <c r="F205" s="6">
        <v>8</v>
      </c>
      <c r="G205" s="7">
        <v>6.63</v>
      </c>
      <c r="H205" s="7">
        <v>53.04</v>
      </c>
      <c r="I205" s="5" t="s">
        <v>42</v>
      </c>
    </row>
    <row r="206" spans="1:9" x14ac:dyDescent="0.2">
      <c r="A206" s="2" t="s">
        <v>455</v>
      </c>
      <c r="B206" s="2" t="s">
        <v>456</v>
      </c>
      <c r="C206" s="2" t="s">
        <v>18</v>
      </c>
      <c r="D206" s="2" t="s">
        <v>34</v>
      </c>
      <c r="E206" s="2" t="s">
        <v>19</v>
      </c>
      <c r="F206" s="3">
        <v>3</v>
      </c>
      <c r="G206" s="4">
        <v>5.74</v>
      </c>
      <c r="H206" s="4">
        <v>17.22</v>
      </c>
      <c r="I206" s="2" t="s">
        <v>53</v>
      </c>
    </row>
    <row r="207" spans="1:9" x14ac:dyDescent="0.2">
      <c r="A207" s="5" t="s">
        <v>457</v>
      </c>
      <c r="B207" s="5" t="s">
        <v>458</v>
      </c>
      <c r="C207" s="5" t="s">
        <v>14</v>
      </c>
      <c r="D207" s="5" t="s">
        <v>69</v>
      </c>
      <c r="E207" s="5" t="s">
        <v>23</v>
      </c>
      <c r="F207" s="6">
        <v>6</v>
      </c>
      <c r="G207" s="7">
        <v>15.61</v>
      </c>
      <c r="H207" s="7">
        <v>93.66</v>
      </c>
      <c r="I207" s="5" t="s">
        <v>53</v>
      </c>
    </row>
    <row r="208" spans="1:9" x14ac:dyDescent="0.2">
      <c r="A208" s="2" t="s">
        <v>459</v>
      </c>
      <c r="B208" s="2" t="s">
        <v>460</v>
      </c>
      <c r="C208" s="2" t="s">
        <v>22</v>
      </c>
      <c r="D208" s="2" t="s">
        <v>107</v>
      </c>
      <c r="E208" s="2" t="s">
        <v>23</v>
      </c>
      <c r="F208" s="3">
        <v>7</v>
      </c>
      <c r="G208" s="4">
        <v>13.49</v>
      </c>
      <c r="H208" s="4">
        <v>94.43</v>
      </c>
      <c r="I208" s="2" t="s">
        <v>35</v>
      </c>
    </row>
    <row r="209" spans="1:9" x14ac:dyDescent="0.2">
      <c r="A209" s="5" t="s">
        <v>461</v>
      </c>
      <c r="B209" s="5" t="s">
        <v>462</v>
      </c>
      <c r="C209" s="5" t="s">
        <v>14</v>
      </c>
      <c r="D209" s="5" t="s">
        <v>69</v>
      </c>
      <c r="E209" s="5" t="s">
        <v>17</v>
      </c>
      <c r="F209" s="6">
        <v>7</v>
      </c>
      <c r="G209" s="7">
        <v>4.3</v>
      </c>
      <c r="H209" s="7">
        <v>30.1</v>
      </c>
      <c r="I209" s="5" t="s">
        <v>49</v>
      </c>
    </row>
    <row r="210" spans="1:9" x14ac:dyDescent="0.2">
      <c r="A210" s="2" t="s">
        <v>463</v>
      </c>
      <c r="B210" s="2" t="s">
        <v>464</v>
      </c>
      <c r="C210" s="2" t="s">
        <v>22</v>
      </c>
      <c r="D210" s="2" t="s">
        <v>120</v>
      </c>
      <c r="E210" s="2" t="s">
        <v>21</v>
      </c>
      <c r="F210" s="3">
        <v>7</v>
      </c>
      <c r="G210" s="4">
        <v>8.4600000000000009</v>
      </c>
      <c r="H210" s="4">
        <v>59.22</v>
      </c>
      <c r="I210" s="2" t="s">
        <v>35</v>
      </c>
    </row>
    <row r="211" spans="1:9" x14ac:dyDescent="0.2">
      <c r="A211" s="5" t="s">
        <v>465</v>
      </c>
      <c r="B211" s="5" t="s">
        <v>466</v>
      </c>
      <c r="C211" s="5" t="s">
        <v>16</v>
      </c>
      <c r="D211" s="5" t="s">
        <v>98</v>
      </c>
      <c r="E211" s="5" t="s">
        <v>19</v>
      </c>
      <c r="F211" s="6">
        <v>5</v>
      </c>
      <c r="G211" s="7">
        <v>6.74</v>
      </c>
      <c r="H211" s="7">
        <v>33.700000000000003</v>
      </c>
      <c r="I211" s="5" t="s">
        <v>49</v>
      </c>
    </row>
    <row r="212" spans="1:9" x14ac:dyDescent="0.2">
      <c r="A212" s="2" t="s">
        <v>467</v>
      </c>
      <c r="B212" s="2" t="s">
        <v>468</v>
      </c>
      <c r="C212" s="2" t="s">
        <v>22</v>
      </c>
      <c r="D212" s="2" t="s">
        <v>79</v>
      </c>
      <c r="E212" s="2" t="s">
        <v>15</v>
      </c>
      <c r="F212" s="3">
        <v>2</v>
      </c>
      <c r="G212" s="4">
        <v>4.93</v>
      </c>
      <c r="H212" s="4">
        <v>9.86</v>
      </c>
      <c r="I212" s="2" t="s">
        <v>35</v>
      </c>
    </row>
    <row r="213" spans="1:9" x14ac:dyDescent="0.2">
      <c r="A213" s="5" t="s">
        <v>469</v>
      </c>
      <c r="B213" s="5" t="s">
        <v>470</v>
      </c>
      <c r="C213" s="5" t="s">
        <v>16</v>
      </c>
      <c r="D213" s="5" t="s">
        <v>52</v>
      </c>
      <c r="E213" s="5" t="s">
        <v>23</v>
      </c>
      <c r="F213" s="6">
        <v>1</v>
      </c>
      <c r="G213" s="7">
        <v>17.149999999999999</v>
      </c>
      <c r="H213" s="7">
        <v>17.149999999999999</v>
      </c>
      <c r="I213" s="5" t="s">
        <v>53</v>
      </c>
    </row>
    <row r="214" spans="1:9" x14ac:dyDescent="0.2">
      <c r="A214" s="2" t="s">
        <v>471</v>
      </c>
      <c r="B214" s="2" t="s">
        <v>472</v>
      </c>
      <c r="C214" s="2" t="s">
        <v>18</v>
      </c>
      <c r="D214" s="2" t="s">
        <v>64</v>
      </c>
      <c r="E214" s="2" t="s">
        <v>19</v>
      </c>
      <c r="F214" s="3">
        <v>7</v>
      </c>
      <c r="G214" s="4">
        <v>8.35</v>
      </c>
      <c r="H214" s="4">
        <v>58.45</v>
      </c>
      <c r="I214" s="2" t="s">
        <v>35</v>
      </c>
    </row>
    <row r="215" spans="1:9" x14ac:dyDescent="0.2">
      <c r="A215" s="5" t="s">
        <v>473</v>
      </c>
      <c r="B215" s="5" t="s">
        <v>474</v>
      </c>
      <c r="C215" s="5" t="s">
        <v>16</v>
      </c>
      <c r="D215" s="5" t="s">
        <v>72</v>
      </c>
      <c r="E215" s="5" t="s">
        <v>19</v>
      </c>
      <c r="F215" s="6">
        <v>6</v>
      </c>
      <c r="G215" s="7">
        <v>5.86</v>
      </c>
      <c r="H215" s="7">
        <v>35.159999999999997</v>
      </c>
      <c r="I215" s="5" t="s">
        <v>49</v>
      </c>
    </row>
    <row r="216" spans="1:9" x14ac:dyDescent="0.2">
      <c r="A216" s="2" t="s">
        <v>475</v>
      </c>
      <c r="B216" s="2" t="s">
        <v>476</v>
      </c>
      <c r="C216" s="2" t="s">
        <v>20</v>
      </c>
      <c r="D216" s="2" t="s">
        <v>48</v>
      </c>
      <c r="E216" s="2" t="s">
        <v>21</v>
      </c>
      <c r="F216" s="3">
        <v>4</v>
      </c>
      <c r="G216" s="4">
        <v>10.19</v>
      </c>
      <c r="H216" s="4">
        <v>40.76</v>
      </c>
      <c r="I216" s="2" t="s">
        <v>53</v>
      </c>
    </row>
    <row r="217" spans="1:9" x14ac:dyDescent="0.2">
      <c r="A217" s="5" t="s">
        <v>477</v>
      </c>
      <c r="B217" s="5" t="s">
        <v>478</v>
      </c>
      <c r="C217" s="5" t="s">
        <v>14</v>
      </c>
      <c r="D217" s="5" t="s">
        <v>56</v>
      </c>
      <c r="E217" s="5" t="s">
        <v>15</v>
      </c>
      <c r="F217" s="6">
        <v>5</v>
      </c>
      <c r="G217" s="7">
        <v>6.25</v>
      </c>
      <c r="H217" s="7">
        <v>31.25</v>
      </c>
      <c r="I217" s="5" t="s">
        <v>42</v>
      </c>
    </row>
    <row r="218" spans="1:9" x14ac:dyDescent="0.2">
      <c r="A218" s="2" t="s">
        <v>479</v>
      </c>
      <c r="B218" s="2" t="s">
        <v>480</v>
      </c>
      <c r="C218" s="2" t="s">
        <v>14</v>
      </c>
      <c r="D218" s="2" t="s">
        <v>69</v>
      </c>
      <c r="E218" s="2" t="s">
        <v>23</v>
      </c>
      <c r="F218" s="3">
        <v>1</v>
      </c>
      <c r="G218" s="4">
        <v>17.32</v>
      </c>
      <c r="H218" s="4">
        <v>17.32</v>
      </c>
      <c r="I218" s="2" t="s">
        <v>53</v>
      </c>
    </row>
    <row r="219" spans="1:9" x14ac:dyDescent="0.2">
      <c r="A219" s="5" t="s">
        <v>481</v>
      </c>
      <c r="B219" s="5" t="s">
        <v>482</v>
      </c>
      <c r="C219" s="5" t="s">
        <v>18</v>
      </c>
      <c r="D219" s="5" t="s">
        <v>34</v>
      </c>
      <c r="E219" s="5" t="s">
        <v>19</v>
      </c>
      <c r="F219" s="6">
        <v>5</v>
      </c>
      <c r="G219" s="7">
        <v>8.52</v>
      </c>
      <c r="H219" s="7">
        <v>42.6</v>
      </c>
      <c r="I219" s="5" t="s">
        <v>53</v>
      </c>
    </row>
    <row r="220" spans="1:9" x14ac:dyDescent="0.2">
      <c r="A220" s="2" t="s">
        <v>483</v>
      </c>
      <c r="B220" s="2" t="s">
        <v>484</v>
      </c>
      <c r="C220" s="2" t="s">
        <v>18</v>
      </c>
      <c r="D220" s="2" t="s">
        <v>34</v>
      </c>
      <c r="E220" s="2" t="s">
        <v>17</v>
      </c>
      <c r="F220" s="3">
        <v>7</v>
      </c>
      <c r="G220" s="4">
        <v>3.54</v>
      </c>
      <c r="H220" s="4">
        <v>24.78</v>
      </c>
      <c r="I220" s="2" t="s">
        <v>35</v>
      </c>
    </row>
    <row r="221" spans="1:9" x14ac:dyDescent="0.2">
      <c r="A221" s="5" t="s">
        <v>485</v>
      </c>
      <c r="B221" s="5" t="s">
        <v>486</v>
      </c>
      <c r="C221" s="5" t="s">
        <v>18</v>
      </c>
      <c r="D221" s="5" t="s">
        <v>59</v>
      </c>
      <c r="E221" s="5" t="s">
        <v>23</v>
      </c>
      <c r="F221" s="6">
        <v>4</v>
      </c>
      <c r="G221" s="7">
        <v>15.57</v>
      </c>
      <c r="H221" s="7">
        <v>62.28</v>
      </c>
      <c r="I221" s="5" t="s">
        <v>42</v>
      </c>
    </row>
    <row r="222" spans="1:9" x14ac:dyDescent="0.2">
      <c r="A222" s="2" t="s">
        <v>487</v>
      </c>
      <c r="B222" s="2" t="s">
        <v>488</v>
      </c>
      <c r="C222" s="2" t="s">
        <v>16</v>
      </c>
      <c r="D222" s="2" t="s">
        <v>52</v>
      </c>
      <c r="E222" s="2" t="s">
        <v>19</v>
      </c>
      <c r="F222" s="3">
        <v>5</v>
      </c>
      <c r="G222" s="4">
        <v>7.87</v>
      </c>
      <c r="H222" s="4">
        <v>39.35</v>
      </c>
      <c r="I222" s="2" t="s">
        <v>35</v>
      </c>
    </row>
    <row r="223" spans="1:9" x14ac:dyDescent="0.2">
      <c r="A223" s="5" t="s">
        <v>489</v>
      </c>
      <c r="B223" s="5" t="s">
        <v>490</v>
      </c>
      <c r="C223" s="5" t="s">
        <v>18</v>
      </c>
      <c r="D223" s="5" t="s">
        <v>34</v>
      </c>
      <c r="E223" s="5" t="s">
        <v>17</v>
      </c>
      <c r="F223" s="6">
        <v>1</v>
      </c>
      <c r="G223" s="7">
        <v>4.75</v>
      </c>
      <c r="H223" s="7">
        <v>4.75</v>
      </c>
      <c r="I223" s="5" t="s">
        <v>53</v>
      </c>
    </row>
    <row r="224" spans="1:9" x14ac:dyDescent="0.2">
      <c r="A224" s="2" t="s">
        <v>491</v>
      </c>
      <c r="B224" s="2" t="s">
        <v>492</v>
      </c>
      <c r="C224" s="2" t="s">
        <v>22</v>
      </c>
      <c r="D224" s="2" t="s">
        <v>107</v>
      </c>
      <c r="E224" s="2" t="s">
        <v>21</v>
      </c>
      <c r="F224" s="3">
        <v>8</v>
      </c>
      <c r="G224" s="4">
        <v>9.23</v>
      </c>
      <c r="H224" s="4">
        <v>73.84</v>
      </c>
      <c r="I224" s="2" t="s">
        <v>42</v>
      </c>
    </row>
    <row r="225" spans="1:9" x14ac:dyDescent="0.2">
      <c r="A225" s="5" t="s">
        <v>493</v>
      </c>
      <c r="B225" s="5" t="s">
        <v>494</v>
      </c>
      <c r="C225" s="5" t="s">
        <v>16</v>
      </c>
      <c r="D225" s="5" t="s">
        <v>52</v>
      </c>
      <c r="E225" s="5" t="s">
        <v>23</v>
      </c>
      <c r="F225" s="6">
        <v>2</v>
      </c>
      <c r="G225" s="7">
        <v>15.34</v>
      </c>
      <c r="H225" s="7">
        <v>30.68</v>
      </c>
      <c r="I225" s="5" t="s">
        <v>35</v>
      </c>
    </row>
    <row r="226" spans="1:9" x14ac:dyDescent="0.2">
      <c r="A226" s="2" t="s">
        <v>495</v>
      </c>
      <c r="B226" s="2" t="s">
        <v>496</v>
      </c>
      <c r="C226" s="2" t="s">
        <v>16</v>
      </c>
      <c r="D226" s="2" t="s">
        <v>72</v>
      </c>
      <c r="E226" s="2" t="s">
        <v>23</v>
      </c>
      <c r="F226" s="3">
        <v>8</v>
      </c>
      <c r="G226" s="4">
        <v>16.7</v>
      </c>
      <c r="H226" s="4">
        <v>133.6</v>
      </c>
      <c r="I226" s="2" t="s">
        <v>53</v>
      </c>
    </row>
    <row r="227" spans="1:9" x14ac:dyDescent="0.2">
      <c r="A227" s="5" t="s">
        <v>497</v>
      </c>
      <c r="B227" s="5" t="s">
        <v>498</v>
      </c>
      <c r="C227" s="5" t="s">
        <v>18</v>
      </c>
      <c r="D227" s="5" t="s">
        <v>34</v>
      </c>
      <c r="E227" s="5" t="s">
        <v>21</v>
      </c>
      <c r="F227" s="6">
        <v>1</v>
      </c>
      <c r="G227" s="7">
        <v>6.83</v>
      </c>
      <c r="H227" s="7">
        <v>6.83</v>
      </c>
      <c r="I227" s="5" t="s">
        <v>53</v>
      </c>
    </row>
    <row r="228" spans="1:9" x14ac:dyDescent="0.2">
      <c r="A228" s="2" t="s">
        <v>499</v>
      </c>
      <c r="B228" s="2" t="s">
        <v>500</v>
      </c>
      <c r="C228" s="2" t="s">
        <v>20</v>
      </c>
      <c r="D228" s="2" t="s">
        <v>41</v>
      </c>
      <c r="E228" s="2" t="s">
        <v>19</v>
      </c>
      <c r="F228" s="3">
        <v>5</v>
      </c>
      <c r="G228" s="4">
        <v>6.59</v>
      </c>
      <c r="H228" s="4">
        <v>32.950000000000003</v>
      </c>
      <c r="I228" s="2" t="s">
        <v>35</v>
      </c>
    </row>
    <row r="229" spans="1:9" x14ac:dyDescent="0.2">
      <c r="A229" s="5" t="s">
        <v>501</v>
      </c>
      <c r="B229" s="5" t="s">
        <v>502</v>
      </c>
      <c r="C229" s="5" t="s">
        <v>22</v>
      </c>
      <c r="D229" s="5" t="s">
        <v>107</v>
      </c>
      <c r="E229" s="5" t="s">
        <v>21</v>
      </c>
      <c r="F229" s="6">
        <v>3</v>
      </c>
      <c r="G229" s="7">
        <v>7.32</v>
      </c>
      <c r="H229" s="7">
        <v>21.96</v>
      </c>
      <c r="I229" s="5" t="s">
        <v>49</v>
      </c>
    </row>
    <row r="230" spans="1:9" x14ac:dyDescent="0.2">
      <c r="A230" s="2" t="s">
        <v>503</v>
      </c>
      <c r="B230" s="2" t="s">
        <v>504</v>
      </c>
      <c r="C230" s="2" t="s">
        <v>14</v>
      </c>
      <c r="D230" s="2" t="s">
        <v>69</v>
      </c>
      <c r="E230" s="2" t="s">
        <v>19</v>
      </c>
      <c r="F230" s="3">
        <v>2</v>
      </c>
      <c r="G230" s="4">
        <v>6.82</v>
      </c>
      <c r="H230" s="4">
        <v>13.64</v>
      </c>
      <c r="I230" s="2" t="s">
        <v>35</v>
      </c>
    </row>
    <row r="231" spans="1:9" x14ac:dyDescent="0.2">
      <c r="A231" s="5" t="s">
        <v>505</v>
      </c>
      <c r="B231" s="5" t="s">
        <v>506</v>
      </c>
      <c r="C231" s="5" t="s">
        <v>22</v>
      </c>
      <c r="D231" s="5" t="s">
        <v>79</v>
      </c>
      <c r="E231" s="5" t="s">
        <v>21</v>
      </c>
      <c r="F231" s="6">
        <v>2</v>
      </c>
      <c r="G231" s="7">
        <v>10.25</v>
      </c>
      <c r="H231" s="7">
        <v>20.5</v>
      </c>
      <c r="I231" s="5" t="s">
        <v>42</v>
      </c>
    </row>
    <row r="232" spans="1:9" x14ac:dyDescent="0.2">
      <c r="A232" s="2" t="s">
        <v>507</v>
      </c>
      <c r="B232" s="2" t="s">
        <v>508</v>
      </c>
      <c r="C232" s="2" t="s">
        <v>14</v>
      </c>
      <c r="D232" s="2" t="s">
        <v>56</v>
      </c>
      <c r="E232" s="2" t="s">
        <v>21</v>
      </c>
      <c r="F232" s="3">
        <v>5</v>
      </c>
      <c r="G232" s="4">
        <v>7.26</v>
      </c>
      <c r="H232" s="4">
        <v>36.299999999999997</v>
      </c>
      <c r="I232" s="2" t="s">
        <v>35</v>
      </c>
    </row>
    <row r="233" spans="1:9" x14ac:dyDescent="0.2">
      <c r="A233" s="5" t="s">
        <v>509</v>
      </c>
      <c r="B233" s="5" t="s">
        <v>510</v>
      </c>
      <c r="C233" s="5" t="s">
        <v>16</v>
      </c>
      <c r="D233" s="5" t="s">
        <v>52</v>
      </c>
      <c r="E233" s="5" t="s">
        <v>23</v>
      </c>
      <c r="F233" s="6">
        <v>8</v>
      </c>
      <c r="G233" s="7">
        <v>18.989999999999998</v>
      </c>
      <c r="H233" s="7">
        <v>151.91999999999999</v>
      </c>
      <c r="I233" s="5" t="s">
        <v>53</v>
      </c>
    </row>
    <row r="234" spans="1:9" x14ac:dyDescent="0.2">
      <c r="A234" s="2" t="s">
        <v>511</v>
      </c>
      <c r="B234" s="2" t="s">
        <v>512</v>
      </c>
      <c r="C234" s="2" t="s">
        <v>18</v>
      </c>
      <c r="D234" s="2" t="s">
        <v>64</v>
      </c>
      <c r="E234" s="2" t="s">
        <v>15</v>
      </c>
      <c r="F234" s="3">
        <v>4</v>
      </c>
      <c r="G234" s="4">
        <v>5.87</v>
      </c>
      <c r="H234" s="4">
        <v>23.48</v>
      </c>
      <c r="I234" s="2" t="s">
        <v>42</v>
      </c>
    </row>
    <row r="235" spans="1:9" x14ac:dyDescent="0.2">
      <c r="A235" s="5" t="s">
        <v>513</v>
      </c>
      <c r="B235" s="5" t="s">
        <v>514</v>
      </c>
      <c r="C235" s="5" t="s">
        <v>14</v>
      </c>
      <c r="D235" s="5" t="s">
        <v>38</v>
      </c>
      <c r="E235" s="5" t="s">
        <v>21</v>
      </c>
      <c r="F235" s="6">
        <v>5</v>
      </c>
      <c r="G235" s="7">
        <v>9.7799999999999994</v>
      </c>
      <c r="H235" s="7">
        <v>48.9</v>
      </c>
      <c r="I235" s="5" t="s">
        <v>49</v>
      </c>
    </row>
    <row r="236" spans="1:9" x14ac:dyDescent="0.2">
      <c r="A236" s="2" t="s">
        <v>515</v>
      </c>
      <c r="B236" s="2" t="s">
        <v>516</v>
      </c>
      <c r="C236" s="2" t="s">
        <v>16</v>
      </c>
      <c r="D236" s="2" t="s">
        <v>52</v>
      </c>
      <c r="E236" s="2" t="s">
        <v>15</v>
      </c>
      <c r="F236" s="3">
        <v>2</v>
      </c>
      <c r="G236" s="4">
        <v>6.13</v>
      </c>
      <c r="H236" s="4">
        <v>12.26</v>
      </c>
      <c r="I236" s="2" t="s">
        <v>49</v>
      </c>
    </row>
    <row r="237" spans="1:9" x14ac:dyDescent="0.2">
      <c r="A237" s="5" t="s">
        <v>517</v>
      </c>
      <c r="B237" s="5" t="s">
        <v>518</v>
      </c>
      <c r="C237" s="5" t="s">
        <v>16</v>
      </c>
      <c r="D237" s="5" t="s">
        <v>98</v>
      </c>
      <c r="E237" s="5" t="s">
        <v>17</v>
      </c>
      <c r="F237" s="6">
        <v>4</v>
      </c>
      <c r="G237" s="7">
        <v>3.61</v>
      </c>
      <c r="H237" s="7">
        <v>14.44</v>
      </c>
      <c r="I237" s="5" t="s">
        <v>53</v>
      </c>
    </row>
    <row r="238" spans="1:9" x14ac:dyDescent="0.2">
      <c r="A238" s="2" t="s">
        <v>519</v>
      </c>
      <c r="B238" s="2" t="s">
        <v>520</v>
      </c>
      <c r="C238" s="2" t="s">
        <v>20</v>
      </c>
      <c r="D238" s="2" t="s">
        <v>41</v>
      </c>
      <c r="E238" s="2" t="s">
        <v>23</v>
      </c>
      <c r="F238" s="3">
        <v>3</v>
      </c>
      <c r="G238" s="4">
        <v>18.45</v>
      </c>
      <c r="H238" s="4">
        <v>55.35</v>
      </c>
      <c r="I238" s="2" t="s">
        <v>35</v>
      </c>
    </row>
    <row r="239" spans="1:9" x14ac:dyDescent="0.2">
      <c r="A239" s="5" t="s">
        <v>521</v>
      </c>
      <c r="B239" s="5" t="s">
        <v>522</v>
      </c>
      <c r="C239" s="5" t="s">
        <v>20</v>
      </c>
      <c r="D239" s="5" t="s">
        <v>48</v>
      </c>
      <c r="E239" s="5" t="s">
        <v>21</v>
      </c>
      <c r="F239" s="6">
        <v>8</v>
      </c>
      <c r="G239" s="7">
        <v>9.82</v>
      </c>
      <c r="H239" s="7">
        <v>78.56</v>
      </c>
      <c r="I239" s="5" t="s">
        <v>42</v>
      </c>
    </row>
    <row r="240" spans="1:9" x14ac:dyDescent="0.2">
      <c r="A240" s="2" t="s">
        <v>523</v>
      </c>
      <c r="B240" s="2" t="s">
        <v>524</v>
      </c>
      <c r="C240" s="2" t="s">
        <v>14</v>
      </c>
      <c r="D240" s="2" t="s">
        <v>69</v>
      </c>
      <c r="E240" s="2" t="s">
        <v>23</v>
      </c>
      <c r="F240" s="3">
        <v>6</v>
      </c>
      <c r="G240" s="4">
        <v>19.23</v>
      </c>
      <c r="H240" s="4">
        <v>115.38</v>
      </c>
      <c r="I240" s="2" t="s">
        <v>53</v>
      </c>
    </row>
    <row r="241" spans="1:9" x14ac:dyDescent="0.2">
      <c r="A241" s="5" t="s">
        <v>525</v>
      </c>
      <c r="B241" s="5" t="s">
        <v>526</v>
      </c>
      <c r="C241" s="5" t="s">
        <v>20</v>
      </c>
      <c r="D241" s="5" t="s">
        <v>45</v>
      </c>
      <c r="E241" s="5" t="s">
        <v>15</v>
      </c>
      <c r="F241" s="6">
        <v>8</v>
      </c>
      <c r="G241" s="7">
        <v>5.89</v>
      </c>
      <c r="H241" s="7">
        <v>47.12</v>
      </c>
      <c r="I241" s="5" t="s">
        <v>53</v>
      </c>
    </row>
    <row r="242" spans="1:9" x14ac:dyDescent="0.2">
      <c r="A242" s="2" t="s">
        <v>527</v>
      </c>
      <c r="B242" s="2" t="s">
        <v>528</v>
      </c>
      <c r="C242" s="2" t="s">
        <v>16</v>
      </c>
      <c r="D242" s="2" t="s">
        <v>72</v>
      </c>
      <c r="E242" s="2" t="s">
        <v>15</v>
      </c>
      <c r="F242" s="3">
        <v>6</v>
      </c>
      <c r="G242" s="4">
        <v>6.07</v>
      </c>
      <c r="H242" s="4">
        <v>36.42</v>
      </c>
      <c r="I242" s="2" t="s">
        <v>53</v>
      </c>
    </row>
    <row r="243" spans="1:9" x14ac:dyDescent="0.2">
      <c r="A243" s="5" t="s">
        <v>529</v>
      </c>
      <c r="B243" s="5" t="s">
        <v>530</v>
      </c>
      <c r="C243" s="5" t="s">
        <v>22</v>
      </c>
      <c r="D243" s="5" t="s">
        <v>120</v>
      </c>
      <c r="E243" s="5" t="s">
        <v>15</v>
      </c>
      <c r="F243" s="6">
        <v>1</v>
      </c>
      <c r="G243" s="7">
        <v>5.69</v>
      </c>
      <c r="H243" s="7">
        <v>5.69</v>
      </c>
      <c r="I243" s="5" t="s">
        <v>53</v>
      </c>
    </row>
    <row r="244" spans="1:9" x14ac:dyDescent="0.2">
      <c r="A244" s="2" t="s">
        <v>531</v>
      </c>
      <c r="B244" s="2" t="s">
        <v>532</v>
      </c>
      <c r="C244" s="2" t="s">
        <v>18</v>
      </c>
      <c r="D244" s="2" t="s">
        <v>59</v>
      </c>
      <c r="E244" s="2" t="s">
        <v>15</v>
      </c>
      <c r="F244" s="3">
        <v>7</v>
      </c>
      <c r="G244" s="4">
        <v>5.95</v>
      </c>
      <c r="H244" s="4">
        <v>41.65</v>
      </c>
      <c r="I244" s="2" t="s">
        <v>35</v>
      </c>
    </row>
    <row r="245" spans="1:9" x14ac:dyDescent="0.2">
      <c r="A245" s="5" t="s">
        <v>533</v>
      </c>
      <c r="B245" s="5" t="s">
        <v>534</v>
      </c>
      <c r="C245" s="5" t="s">
        <v>22</v>
      </c>
      <c r="D245" s="5" t="s">
        <v>107</v>
      </c>
      <c r="E245" s="5" t="s">
        <v>17</v>
      </c>
      <c r="F245" s="6">
        <v>6</v>
      </c>
      <c r="G245" s="7">
        <v>4.6100000000000003</v>
      </c>
      <c r="H245" s="7">
        <v>27.66</v>
      </c>
      <c r="I245" s="5" t="s">
        <v>49</v>
      </c>
    </row>
    <row r="246" spans="1:9" x14ac:dyDescent="0.2">
      <c r="A246" s="2" t="s">
        <v>535</v>
      </c>
      <c r="B246" s="2" t="s">
        <v>536</v>
      </c>
      <c r="C246" s="2" t="s">
        <v>18</v>
      </c>
      <c r="D246" s="2" t="s">
        <v>64</v>
      </c>
      <c r="E246" s="2" t="s">
        <v>15</v>
      </c>
      <c r="F246" s="3">
        <v>6</v>
      </c>
      <c r="G246" s="4">
        <v>7.38</v>
      </c>
      <c r="H246" s="4">
        <v>44.28</v>
      </c>
      <c r="I246" s="2" t="s">
        <v>35</v>
      </c>
    </row>
    <row r="247" spans="1:9" x14ac:dyDescent="0.2">
      <c r="A247" s="5" t="s">
        <v>537</v>
      </c>
      <c r="B247" s="5" t="s">
        <v>538</v>
      </c>
      <c r="C247" s="5" t="s">
        <v>14</v>
      </c>
      <c r="D247" s="5" t="s">
        <v>69</v>
      </c>
      <c r="E247" s="5" t="s">
        <v>17</v>
      </c>
      <c r="F247" s="6">
        <v>1</v>
      </c>
      <c r="G247" s="7">
        <v>3.9</v>
      </c>
      <c r="H247" s="7">
        <v>3.9</v>
      </c>
      <c r="I247" s="5" t="s">
        <v>42</v>
      </c>
    </row>
    <row r="248" spans="1:9" x14ac:dyDescent="0.2">
      <c r="A248" s="2" t="s">
        <v>539</v>
      </c>
      <c r="B248" s="2" t="s">
        <v>540</v>
      </c>
      <c r="C248" s="2" t="s">
        <v>22</v>
      </c>
      <c r="D248" s="2" t="s">
        <v>107</v>
      </c>
      <c r="E248" s="2" t="s">
        <v>23</v>
      </c>
      <c r="F248" s="3">
        <v>3</v>
      </c>
      <c r="G248" s="4">
        <v>15.48</v>
      </c>
      <c r="H248" s="4">
        <v>46.44</v>
      </c>
      <c r="I248" s="2" t="s">
        <v>53</v>
      </c>
    </row>
    <row r="249" spans="1:9" x14ac:dyDescent="0.2">
      <c r="A249" s="5" t="s">
        <v>541</v>
      </c>
      <c r="B249" s="5" t="s">
        <v>542</v>
      </c>
      <c r="C249" s="5" t="s">
        <v>22</v>
      </c>
      <c r="D249" s="5" t="s">
        <v>120</v>
      </c>
      <c r="E249" s="5" t="s">
        <v>19</v>
      </c>
      <c r="F249" s="6">
        <v>1</v>
      </c>
      <c r="G249" s="7">
        <v>8.09</v>
      </c>
      <c r="H249" s="7">
        <v>8.09</v>
      </c>
      <c r="I249" s="5" t="s">
        <v>53</v>
      </c>
    </row>
    <row r="250" spans="1:9" x14ac:dyDescent="0.2">
      <c r="A250" s="2" t="s">
        <v>543</v>
      </c>
      <c r="B250" s="2" t="s">
        <v>544</v>
      </c>
      <c r="C250" s="2" t="s">
        <v>18</v>
      </c>
      <c r="D250" s="2" t="s">
        <v>64</v>
      </c>
      <c r="E250" s="2" t="s">
        <v>15</v>
      </c>
      <c r="F250" s="3">
        <v>7</v>
      </c>
      <c r="G250" s="4">
        <v>5.46</v>
      </c>
      <c r="H250" s="4">
        <v>38.22</v>
      </c>
      <c r="I250" s="2" t="s">
        <v>49</v>
      </c>
    </row>
    <row r="251" spans="1:9" x14ac:dyDescent="0.2">
      <c r="A251" s="5" t="s">
        <v>545</v>
      </c>
      <c r="B251" s="5" t="s">
        <v>546</v>
      </c>
      <c r="C251" s="5" t="s">
        <v>16</v>
      </c>
      <c r="D251" s="5" t="s">
        <v>52</v>
      </c>
      <c r="E251" s="5" t="s">
        <v>23</v>
      </c>
      <c r="F251" s="6">
        <v>3</v>
      </c>
      <c r="G251" s="7">
        <v>19.63</v>
      </c>
      <c r="H251" s="7">
        <v>58.89</v>
      </c>
      <c r="I251" s="5" t="s">
        <v>53</v>
      </c>
    </row>
    <row r="252" spans="1:9" x14ac:dyDescent="0.2">
      <c r="A252" s="2" t="s">
        <v>547</v>
      </c>
      <c r="B252" s="2" t="s">
        <v>548</v>
      </c>
      <c r="C252" s="2" t="s">
        <v>22</v>
      </c>
      <c r="D252" s="2" t="s">
        <v>79</v>
      </c>
      <c r="E252" s="2" t="s">
        <v>23</v>
      </c>
      <c r="F252" s="3">
        <v>2</v>
      </c>
      <c r="G252" s="4">
        <v>15.07</v>
      </c>
      <c r="H252" s="4">
        <v>30.14</v>
      </c>
      <c r="I252" s="2" t="s">
        <v>42</v>
      </c>
    </row>
    <row r="253" spans="1:9" x14ac:dyDescent="0.2">
      <c r="A253" s="5" t="s">
        <v>549</v>
      </c>
      <c r="B253" s="5" t="s">
        <v>550</v>
      </c>
      <c r="C253" s="5" t="s">
        <v>16</v>
      </c>
      <c r="D253" s="5" t="s">
        <v>52</v>
      </c>
      <c r="E253" s="5" t="s">
        <v>23</v>
      </c>
      <c r="F253" s="6">
        <v>2</v>
      </c>
      <c r="G253" s="7">
        <v>17.600000000000001</v>
      </c>
      <c r="H253" s="7">
        <v>35.200000000000003</v>
      </c>
      <c r="I253" s="5" t="s">
        <v>42</v>
      </c>
    </row>
    <row r="254" spans="1:9" x14ac:dyDescent="0.2">
      <c r="A254" s="2" t="s">
        <v>551</v>
      </c>
      <c r="B254" s="2" t="s">
        <v>552</v>
      </c>
      <c r="C254" s="2" t="s">
        <v>14</v>
      </c>
      <c r="D254" s="2" t="s">
        <v>56</v>
      </c>
      <c r="E254" s="2" t="s">
        <v>15</v>
      </c>
      <c r="F254" s="3">
        <v>6</v>
      </c>
      <c r="G254" s="4">
        <v>5.52</v>
      </c>
      <c r="H254" s="4">
        <v>33.119999999999997</v>
      </c>
      <c r="I254" s="2" t="s">
        <v>49</v>
      </c>
    </row>
    <row r="255" spans="1:9" x14ac:dyDescent="0.2">
      <c r="A255" s="5" t="s">
        <v>553</v>
      </c>
      <c r="B255" s="5" t="s">
        <v>554</v>
      </c>
      <c r="C255" s="5" t="s">
        <v>16</v>
      </c>
      <c r="D255" s="5" t="s">
        <v>98</v>
      </c>
      <c r="E255" s="5" t="s">
        <v>17</v>
      </c>
      <c r="F255" s="6">
        <v>4</v>
      </c>
      <c r="G255" s="7">
        <v>5.4</v>
      </c>
      <c r="H255" s="7">
        <v>21.6</v>
      </c>
      <c r="I255" s="5" t="s">
        <v>49</v>
      </c>
    </row>
    <row r="256" spans="1:9" x14ac:dyDescent="0.2">
      <c r="A256" s="2" t="s">
        <v>555</v>
      </c>
      <c r="B256" s="2" t="s">
        <v>556</v>
      </c>
      <c r="C256" s="2" t="s">
        <v>18</v>
      </c>
      <c r="D256" s="2" t="s">
        <v>64</v>
      </c>
      <c r="E256" s="2" t="s">
        <v>15</v>
      </c>
      <c r="F256" s="3">
        <v>1</v>
      </c>
      <c r="G256" s="4">
        <v>6.5</v>
      </c>
      <c r="H256" s="4">
        <v>6.5</v>
      </c>
      <c r="I256" s="2" t="s">
        <v>49</v>
      </c>
    </row>
    <row r="257" spans="1:9" x14ac:dyDescent="0.2">
      <c r="A257" s="5" t="s">
        <v>557</v>
      </c>
      <c r="B257" s="5" t="s">
        <v>558</v>
      </c>
      <c r="C257" s="5" t="s">
        <v>14</v>
      </c>
      <c r="D257" s="5" t="s">
        <v>56</v>
      </c>
      <c r="E257" s="5" t="s">
        <v>17</v>
      </c>
      <c r="F257" s="6">
        <v>3</v>
      </c>
      <c r="G257" s="7">
        <v>3.76</v>
      </c>
      <c r="H257" s="7">
        <v>11.28</v>
      </c>
      <c r="I257" s="5" t="s">
        <v>49</v>
      </c>
    </row>
    <row r="258" spans="1:9" x14ac:dyDescent="0.2">
      <c r="A258" s="2" t="s">
        <v>559</v>
      </c>
      <c r="B258" s="2" t="s">
        <v>560</v>
      </c>
      <c r="C258" s="2" t="s">
        <v>22</v>
      </c>
      <c r="D258" s="2" t="s">
        <v>79</v>
      </c>
      <c r="E258" s="2" t="s">
        <v>21</v>
      </c>
      <c r="F258" s="3">
        <v>6</v>
      </c>
      <c r="G258" s="4">
        <v>9.51</v>
      </c>
      <c r="H258" s="4">
        <v>57.06</v>
      </c>
      <c r="I258" s="2" t="s">
        <v>49</v>
      </c>
    </row>
    <row r="259" spans="1:9" x14ac:dyDescent="0.2">
      <c r="A259" s="5" t="s">
        <v>561</v>
      </c>
      <c r="B259" s="5" t="s">
        <v>562</v>
      </c>
      <c r="C259" s="5" t="s">
        <v>22</v>
      </c>
      <c r="D259" s="5" t="s">
        <v>107</v>
      </c>
      <c r="E259" s="5" t="s">
        <v>19</v>
      </c>
      <c r="F259" s="6">
        <v>8</v>
      </c>
      <c r="G259" s="7">
        <v>6.29</v>
      </c>
      <c r="H259" s="7">
        <v>50.32</v>
      </c>
      <c r="I259" s="5" t="s">
        <v>49</v>
      </c>
    </row>
    <row r="260" spans="1:9" x14ac:dyDescent="0.2">
      <c r="A260" s="2" t="s">
        <v>563</v>
      </c>
      <c r="B260" s="2" t="s">
        <v>564</v>
      </c>
      <c r="C260" s="2" t="s">
        <v>16</v>
      </c>
      <c r="D260" s="2" t="s">
        <v>98</v>
      </c>
      <c r="E260" s="2" t="s">
        <v>17</v>
      </c>
      <c r="F260" s="3">
        <v>6</v>
      </c>
      <c r="G260" s="4">
        <v>4.76</v>
      </c>
      <c r="H260" s="4">
        <v>28.56</v>
      </c>
      <c r="I260" s="2" t="s">
        <v>42</v>
      </c>
    </row>
    <row r="261" spans="1:9" x14ac:dyDescent="0.2">
      <c r="A261" s="5" t="s">
        <v>565</v>
      </c>
      <c r="B261" s="5" t="s">
        <v>566</v>
      </c>
      <c r="C261" s="5" t="s">
        <v>22</v>
      </c>
      <c r="D261" s="5" t="s">
        <v>120</v>
      </c>
      <c r="E261" s="5" t="s">
        <v>21</v>
      </c>
      <c r="F261" s="6">
        <v>7</v>
      </c>
      <c r="G261" s="7">
        <v>10.67</v>
      </c>
      <c r="H261" s="7">
        <v>74.69</v>
      </c>
      <c r="I261" s="5" t="s">
        <v>49</v>
      </c>
    </row>
    <row r="262" spans="1:9" x14ac:dyDescent="0.2">
      <c r="A262" s="2" t="s">
        <v>567</v>
      </c>
      <c r="B262" s="2" t="s">
        <v>568</v>
      </c>
      <c r="C262" s="2" t="s">
        <v>14</v>
      </c>
      <c r="D262" s="2" t="s">
        <v>38</v>
      </c>
      <c r="E262" s="2" t="s">
        <v>19</v>
      </c>
      <c r="F262" s="3">
        <v>1</v>
      </c>
      <c r="G262" s="4">
        <v>7.61</v>
      </c>
      <c r="H262" s="4">
        <v>7.61</v>
      </c>
      <c r="I262" s="2" t="s">
        <v>53</v>
      </c>
    </row>
    <row r="263" spans="1:9" x14ac:dyDescent="0.2">
      <c r="A263" s="5" t="s">
        <v>569</v>
      </c>
      <c r="B263" s="5" t="s">
        <v>570</v>
      </c>
      <c r="C263" s="5" t="s">
        <v>14</v>
      </c>
      <c r="D263" s="5" t="s">
        <v>38</v>
      </c>
      <c r="E263" s="5" t="s">
        <v>23</v>
      </c>
      <c r="F263" s="6">
        <v>2</v>
      </c>
      <c r="G263" s="7">
        <v>14.89</v>
      </c>
      <c r="H263" s="7">
        <v>29.78</v>
      </c>
      <c r="I263" s="5" t="s">
        <v>49</v>
      </c>
    </row>
    <row r="264" spans="1:9" x14ac:dyDescent="0.2">
      <c r="A264" s="2" t="s">
        <v>571</v>
      </c>
      <c r="B264" s="2" t="s">
        <v>572</v>
      </c>
      <c r="C264" s="2" t="s">
        <v>16</v>
      </c>
      <c r="D264" s="2" t="s">
        <v>98</v>
      </c>
      <c r="E264" s="2" t="s">
        <v>23</v>
      </c>
      <c r="F264" s="3">
        <v>3</v>
      </c>
      <c r="G264" s="4">
        <v>18.98</v>
      </c>
      <c r="H264" s="4">
        <v>56.94</v>
      </c>
      <c r="I264" s="2" t="s">
        <v>35</v>
      </c>
    </row>
    <row r="265" spans="1:9" x14ac:dyDescent="0.2">
      <c r="A265" s="5" t="s">
        <v>573</v>
      </c>
      <c r="B265" s="5" t="s">
        <v>574</v>
      </c>
      <c r="C265" s="5" t="s">
        <v>20</v>
      </c>
      <c r="D265" s="5" t="s">
        <v>45</v>
      </c>
      <c r="E265" s="5" t="s">
        <v>19</v>
      </c>
      <c r="F265" s="6">
        <v>1</v>
      </c>
      <c r="G265" s="7">
        <v>6.87</v>
      </c>
      <c r="H265" s="7">
        <v>6.87</v>
      </c>
      <c r="I265" s="5" t="s">
        <v>42</v>
      </c>
    </row>
    <row r="266" spans="1:9" x14ac:dyDescent="0.2">
      <c r="A266" s="2" t="s">
        <v>575</v>
      </c>
      <c r="B266" s="2" t="s">
        <v>576</v>
      </c>
      <c r="C266" s="2" t="s">
        <v>14</v>
      </c>
      <c r="D266" s="2" t="s">
        <v>56</v>
      </c>
      <c r="E266" s="2" t="s">
        <v>17</v>
      </c>
      <c r="F266" s="3">
        <v>7</v>
      </c>
      <c r="G266" s="4">
        <v>5.39</v>
      </c>
      <c r="H266" s="4">
        <v>37.729999999999997</v>
      </c>
      <c r="I266" s="2" t="s">
        <v>53</v>
      </c>
    </row>
    <row r="267" spans="1:9" x14ac:dyDescent="0.2">
      <c r="A267" s="5" t="s">
        <v>577</v>
      </c>
      <c r="B267" s="5" t="s">
        <v>578</v>
      </c>
      <c r="C267" s="5" t="s">
        <v>20</v>
      </c>
      <c r="D267" s="5" t="s">
        <v>41</v>
      </c>
      <c r="E267" s="5" t="s">
        <v>19</v>
      </c>
      <c r="F267" s="6">
        <v>2</v>
      </c>
      <c r="G267" s="7">
        <v>8.25</v>
      </c>
      <c r="H267" s="7">
        <v>16.5</v>
      </c>
      <c r="I267" s="5" t="s">
        <v>53</v>
      </c>
    </row>
    <row r="268" spans="1:9" x14ac:dyDescent="0.2">
      <c r="A268" s="2" t="s">
        <v>579</v>
      </c>
      <c r="B268" s="2" t="s">
        <v>580</v>
      </c>
      <c r="C268" s="2" t="s">
        <v>20</v>
      </c>
      <c r="D268" s="2" t="s">
        <v>41</v>
      </c>
      <c r="E268" s="2" t="s">
        <v>15</v>
      </c>
      <c r="F268" s="3">
        <v>5</v>
      </c>
      <c r="G268" s="4">
        <v>7.2</v>
      </c>
      <c r="H268" s="4">
        <v>36</v>
      </c>
      <c r="I268" s="2" t="s">
        <v>42</v>
      </c>
    </row>
    <row r="269" spans="1:9" x14ac:dyDescent="0.2">
      <c r="A269" s="5" t="s">
        <v>581</v>
      </c>
      <c r="B269" s="5" t="s">
        <v>582</v>
      </c>
      <c r="C269" s="5" t="s">
        <v>20</v>
      </c>
      <c r="D269" s="5" t="s">
        <v>48</v>
      </c>
      <c r="E269" s="5" t="s">
        <v>21</v>
      </c>
      <c r="F269" s="6">
        <v>8</v>
      </c>
      <c r="G269" s="7">
        <v>9.26</v>
      </c>
      <c r="H269" s="7">
        <v>74.08</v>
      </c>
      <c r="I269" s="5" t="s">
        <v>35</v>
      </c>
    </row>
    <row r="270" spans="1:9" x14ac:dyDescent="0.2">
      <c r="A270" s="2" t="s">
        <v>583</v>
      </c>
      <c r="B270" s="2" t="s">
        <v>584</v>
      </c>
      <c r="C270" s="2" t="s">
        <v>18</v>
      </c>
      <c r="D270" s="2" t="s">
        <v>64</v>
      </c>
      <c r="E270" s="2" t="s">
        <v>17</v>
      </c>
      <c r="F270" s="3">
        <v>3</v>
      </c>
      <c r="G270" s="4">
        <v>4.5</v>
      </c>
      <c r="H270" s="4">
        <v>13.5</v>
      </c>
      <c r="I270" s="2" t="s">
        <v>42</v>
      </c>
    </row>
    <row r="271" spans="1:9" x14ac:dyDescent="0.2">
      <c r="A271" s="5" t="s">
        <v>585</v>
      </c>
      <c r="B271" s="5" t="s">
        <v>586</v>
      </c>
      <c r="C271" s="5" t="s">
        <v>18</v>
      </c>
      <c r="D271" s="5" t="s">
        <v>64</v>
      </c>
      <c r="E271" s="5" t="s">
        <v>17</v>
      </c>
      <c r="F271" s="6">
        <v>5</v>
      </c>
      <c r="G271" s="7">
        <v>3.64</v>
      </c>
      <c r="H271" s="7">
        <v>18.2</v>
      </c>
      <c r="I271" s="5" t="s">
        <v>49</v>
      </c>
    </row>
    <row r="272" spans="1:9" x14ac:dyDescent="0.2">
      <c r="A272" s="2" t="s">
        <v>587</v>
      </c>
      <c r="B272" s="2" t="s">
        <v>588</v>
      </c>
      <c r="C272" s="2" t="s">
        <v>22</v>
      </c>
      <c r="D272" s="2" t="s">
        <v>107</v>
      </c>
      <c r="E272" s="2" t="s">
        <v>23</v>
      </c>
      <c r="F272" s="3">
        <v>8</v>
      </c>
      <c r="G272" s="4">
        <v>13.22</v>
      </c>
      <c r="H272" s="4">
        <v>105.76</v>
      </c>
      <c r="I272" s="2" t="s">
        <v>42</v>
      </c>
    </row>
    <row r="273" spans="1:9" x14ac:dyDescent="0.2">
      <c r="A273" s="5" t="s">
        <v>589</v>
      </c>
      <c r="B273" s="5" t="s">
        <v>590</v>
      </c>
      <c r="C273" s="5" t="s">
        <v>14</v>
      </c>
      <c r="D273" s="5" t="s">
        <v>69</v>
      </c>
      <c r="E273" s="5" t="s">
        <v>15</v>
      </c>
      <c r="F273" s="6">
        <v>4</v>
      </c>
      <c r="G273" s="7">
        <v>6.65</v>
      </c>
      <c r="H273" s="7">
        <v>26.6</v>
      </c>
      <c r="I273" s="5" t="s">
        <v>53</v>
      </c>
    </row>
    <row r="274" spans="1:9" x14ac:dyDescent="0.2">
      <c r="A274" s="2" t="s">
        <v>591</v>
      </c>
      <c r="B274" s="2" t="s">
        <v>592</v>
      </c>
      <c r="C274" s="2" t="s">
        <v>22</v>
      </c>
      <c r="D274" s="2" t="s">
        <v>79</v>
      </c>
      <c r="E274" s="2" t="s">
        <v>23</v>
      </c>
      <c r="F274" s="3">
        <v>6</v>
      </c>
      <c r="G274" s="4">
        <v>14.55</v>
      </c>
      <c r="H274" s="4">
        <v>87.3</v>
      </c>
      <c r="I274" s="2" t="s">
        <v>42</v>
      </c>
    </row>
    <row r="275" spans="1:9" x14ac:dyDescent="0.2">
      <c r="A275" s="5" t="s">
        <v>593</v>
      </c>
      <c r="B275" s="5" t="s">
        <v>594</v>
      </c>
      <c r="C275" s="5" t="s">
        <v>20</v>
      </c>
      <c r="D275" s="5" t="s">
        <v>48</v>
      </c>
      <c r="E275" s="5" t="s">
        <v>15</v>
      </c>
      <c r="F275" s="6">
        <v>6</v>
      </c>
      <c r="G275" s="7">
        <v>4.8600000000000003</v>
      </c>
      <c r="H275" s="7">
        <v>29.16</v>
      </c>
      <c r="I275" s="5" t="s">
        <v>35</v>
      </c>
    </row>
    <row r="276" spans="1:9" x14ac:dyDescent="0.2">
      <c r="A276" s="2" t="s">
        <v>595</v>
      </c>
      <c r="B276" s="2" t="s">
        <v>596</v>
      </c>
      <c r="C276" s="2" t="s">
        <v>22</v>
      </c>
      <c r="D276" s="2" t="s">
        <v>120</v>
      </c>
      <c r="E276" s="2" t="s">
        <v>15</v>
      </c>
      <c r="F276" s="3">
        <v>7</v>
      </c>
      <c r="G276" s="4">
        <v>7.37</v>
      </c>
      <c r="H276" s="4">
        <v>51.59</v>
      </c>
      <c r="I276" s="2" t="s">
        <v>53</v>
      </c>
    </row>
    <row r="277" spans="1:9" x14ac:dyDescent="0.2">
      <c r="A277" s="5" t="s">
        <v>597</v>
      </c>
      <c r="B277" s="5" t="s">
        <v>598</v>
      </c>
      <c r="C277" s="5" t="s">
        <v>18</v>
      </c>
      <c r="D277" s="5" t="s">
        <v>64</v>
      </c>
      <c r="E277" s="5" t="s">
        <v>15</v>
      </c>
      <c r="F277" s="6">
        <v>6</v>
      </c>
      <c r="G277" s="7">
        <v>5.34</v>
      </c>
      <c r="H277" s="7">
        <v>32.04</v>
      </c>
      <c r="I277" s="5" t="s">
        <v>35</v>
      </c>
    </row>
    <row r="278" spans="1:9" x14ac:dyDescent="0.2">
      <c r="A278" s="2" t="s">
        <v>599</v>
      </c>
      <c r="B278" s="2" t="s">
        <v>600</v>
      </c>
      <c r="C278" s="2" t="s">
        <v>14</v>
      </c>
      <c r="D278" s="2" t="s">
        <v>69</v>
      </c>
      <c r="E278" s="2" t="s">
        <v>19</v>
      </c>
      <c r="F278" s="3">
        <v>3</v>
      </c>
      <c r="G278" s="4">
        <v>5.67</v>
      </c>
      <c r="H278" s="4">
        <v>17.010000000000002</v>
      </c>
      <c r="I278" s="2" t="s">
        <v>53</v>
      </c>
    </row>
    <row r="279" spans="1:9" x14ac:dyDescent="0.2">
      <c r="A279" s="5" t="s">
        <v>601</v>
      </c>
      <c r="B279" s="5" t="s">
        <v>602</v>
      </c>
      <c r="C279" s="5" t="s">
        <v>20</v>
      </c>
      <c r="D279" s="5" t="s">
        <v>48</v>
      </c>
      <c r="E279" s="5" t="s">
        <v>21</v>
      </c>
      <c r="F279" s="6">
        <v>8</v>
      </c>
      <c r="G279" s="7">
        <v>9.33</v>
      </c>
      <c r="H279" s="7">
        <v>74.64</v>
      </c>
      <c r="I279" s="5" t="s">
        <v>49</v>
      </c>
    </row>
    <row r="280" spans="1:9" x14ac:dyDescent="0.2">
      <c r="A280" s="2" t="s">
        <v>603</v>
      </c>
      <c r="B280" s="2" t="s">
        <v>604</v>
      </c>
      <c r="C280" s="2" t="s">
        <v>18</v>
      </c>
      <c r="D280" s="2" t="s">
        <v>59</v>
      </c>
      <c r="E280" s="2" t="s">
        <v>21</v>
      </c>
      <c r="F280" s="3">
        <v>1</v>
      </c>
      <c r="G280" s="4">
        <v>7.97</v>
      </c>
      <c r="H280" s="4">
        <v>7.97</v>
      </c>
      <c r="I280" s="2" t="s">
        <v>35</v>
      </c>
    </row>
    <row r="281" spans="1:9" x14ac:dyDescent="0.2">
      <c r="A281" s="5" t="s">
        <v>605</v>
      </c>
      <c r="B281" s="5" t="s">
        <v>606</v>
      </c>
      <c r="C281" s="5" t="s">
        <v>20</v>
      </c>
      <c r="D281" s="5" t="s">
        <v>41</v>
      </c>
      <c r="E281" s="5" t="s">
        <v>19</v>
      </c>
      <c r="F281" s="6">
        <v>5</v>
      </c>
      <c r="G281" s="7">
        <v>7.2</v>
      </c>
      <c r="H281" s="7">
        <v>36</v>
      </c>
      <c r="I281" s="5" t="s">
        <v>42</v>
      </c>
    </row>
    <row r="282" spans="1:9" x14ac:dyDescent="0.2">
      <c r="A282" s="2" t="s">
        <v>607</v>
      </c>
      <c r="B282" s="2" t="s">
        <v>608</v>
      </c>
      <c r="C282" s="2" t="s">
        <v>16</v>
      </c>
      <c r="D282" s="2" t="s">
        <v>52</v>
      </c>
      <c r="E282" s="2" t="s">
        <v>17</v>
      </c>
      <c r="F282" s="3">
        <v>5</v>
      </c>
      <c r="G282" s="4">
        <v>4.1100000000000003</v>
      </c>
      <c r="H282" s="4">
        <v>20.55</v>
      </c>
      <c r="I282" s="2" t="s">
        <v>35</v>
      </c>
    </row>
  </sheetData>
  <autoFilter ref="A3:I282" xr:uid="{00000000-0009-0000-0000-000001000000}"/>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BA258"/>
  </sheetPr>
  <dimension ref="A1:J12"/>
  <sheetViews>
    <sheetView showGridLines="0" zoomScaleNormal="100" workbookViewId="0">
      <selection activeCell="F10" sqref="F10"/>
    </sheetView>
  </sheetViews>
  <sheetFormatPr baseColWidth="10" defaultColWidth="8.6640625" defaultRowHeight="15" x14ac:dyDescent="0.2"/>
  <cols>
    <col min="1" max="1" width="12" customWidth="1"/>
    <col min="2" max="2" width="16" customWidth="1"/>
    <col min="3" max="3" width="14" customWidth="1"/>
    <col min="4" max="5" width="12" customWidth="1"/>
    <col min="6" max="6" width="13" customWidth="1"/>
    <col min="7" max="7" width="11" customWidth="1"/>
    <col min="8" max="8" width="16" customWidth="1"/>
    <col min="9" max="9" width="11" customWidth="1"/>
    <col min="10" max="10" width="16" customWidth="1"/>
  </cols>
  <sheetData>
    <row r="1" spans="1:10" ht="31.5" customHeight="1" x14ac:dyDescent="0.2">
      <c r="A1" s="69" t="s">
        <v>609</v>
      </c>
      <c r="B1" s="69"/>
      <c r="C1" s="69"/>
      <c r="D1" s="69"/>
      <c r="E1" s="69"/>
      <c r="F1" s="69"/>
      <c r="G1" s="69"/>
      <c r="H1" s="69"/>
      <c r="I1" s="69"/>
      <c r="J1" s="69"/>
    </row>
    <row r="2" spans="1:10" ht="18" customHeight="1" x14ac:dyDescent="0.2">
      <c r="A2" s="70"/>
      <c r="B2" s="70"/>
      <c r="C2" s="70"/>
      <c r="D2" s="70"/>
      <c r="E2" s="70"/>
      <c r="F2" s="70"/>
      <c r="G2" s="70"/>
      <c r="H2" s="70"/>
      <c r="I2" s="70"/>
      <c r="J2" s="70"/>
    </row>
    <row r="4" spans="1:10" ht="24" customHeight="1" x14ac:dyDescent="0.2">
      <c r="A4" s="8" t="s">
        <v>7</v>
      </c>
      <c r="B4" s="8" t="s">
        <v>30</v>
      </c>
      <c r="C4" s="8" t="s">
        <v>610</v>
      </c>
      <c r="D4" s="8" t="s">
        <v>611</v>
      </c>
      <c r="E4" s="8" t="s">
        <v>612</v>
      </c>
      <c r="F4" s="8" t="s">
        <v>613</v>
      </c>
      <c r="G4" s="8" t="s">
        <v>614</v>
      </c>
      <c r="H4" s="8" t="s">
        <v>615</v>
      </c>
      <c r="I4" s="8" t="s">
        <v>616</v>
      </c>
      <c r="J4" s="8" t="s">
        <v>617</v>
      </c>
    </row>
    <row r="5" spans="1:10" x14ac:dyDescent="0.2">
      <c r="A5" s="9" t="s">
        <v>14</v>
      </c>
      <c r="B5" s="10">
        <v>1994.22</v>
      </c>
      <c r="C5" s="11">
        <v>52</v>
      </c>
      <c r="D5" s="11">
        <v>222</v>
      </c>
      <c r="E5" s="10">
        <v>38.35</v>
      </c>
      <c r="F5" s="10">
        <v>208.47</v>
      </c>
      <c r="G5" s="10">
        <v>249.82</v>
      </c>
      <c r="H5" s="10">
        <v>206.5</v>
      </c>
      <c r="I5" s="10">
        <v>419</v>
      </c>
      <c r="J5" s="10">
        <v>910.43</v>
      </c>
    </row>
    <row r="6" spans="1:10" x14ac:dyDescent="0.2">
      <c r="A6" s="12" t="s">
        <v>16</v>
      </c>
      <c r="B6" s="13">
        <v>2559.02</v>
      </c>
      <c r="C6" s="14">
        <v>59</v>
      </c>
      <c r="D6" s="14">
        <v>268</v>
      </c>
      <c r="E6" s="13">
        <v>43.37</v>
      </c>
      <c r="F6" s="13">
        <v>295.13</v>
      </c>
      <c r="G6" s="13">
        <v>147.97</v>
      </c>
      <c r="H6" s="13">
        <v>443.26</v>
      </c>
      <c r="I6" s="13">
        <v>306.97000000000003</v>
      </c>
      <c r="J6" s="13">
        <v>1365.69</v>
      </c>
    </row>
    <row r="7" spans="1:10" x14ac:dyDescent="0.2">
      <c r="A7" s="9" t="s">
        <v>18</v>
      </c>
      <c r="B7" s="10">
        <v>2378.7199999999998</v>
      </c>
      <c r="C7" s="11">
        <v>62</v>
      </c>
      <c r="D7" s="11">
        <v>281</v>
      </c>
      <c r="E7" s="10">
        <v>38.369999999999997</v>
      </c>
      <c r="F7" s="10">
        <v>290.33</v>
      </c>
      <c r="G7" s="10">
        <v>255.89</v>
      </c>
      <c r="H7" s="10">
        <v>486.33</v>
      </c>
      <c r="I7" s="10">
        <v>557.02</v>
      </c>
      <c r="J7" s="10">
        <v>789.15</v>
      </c>
    </row>
    <row r="8" spans="1:10" x14ac:dyDescent="0.2">
      <c r="A8" s="12" t="s">
        <v>20</v>
      </c>
      <c r="B8" s="13">
        <v>1797.49</v>
      </c>
      <c r="C8" s="14">
        <v>50</v>
      </c>
      <c r="D8" s="14">
        <v>223</v>
      </c>
      <c r="E8" s="13">
        <v>35.950000000000003</v>
      </c>
      <c r="F8" s="13">
        <v>252.88</v>
      </c>
      <c r="G8" s="13">
        <v>145.65</v>
      </c>
      <c r="H8" s="13">
        <v>324.58999999999997</v>
      </c>
      <c r="I8" s="13">
        <v>703.45</v>
      </c>
      <c r="J8" s="13">
        <v>370.92</v>
      </c>
    </row>
    <row r="9" spans="1:10" x14ac:dyDescent="0.2">
      <c r="A9" s="9" t="s">
        <v>22</v>
      </c>
      <c r="B9" s="10">
        <v>2129.92</v>
      </c>
      <c r="C9" s="11">
        <v>56</v>
      </c>
      <c r="D9" s="11">
        <v>244</v>
      </c>
      <c r="E9" s="10">
        <v>38.03</v>
      </c>
      <c r="F9" s="10">
        <v>232.2</v>
      </c>
      <c r="G9" s="10">
        <v>221.52</v>
      </c>
      <c r="H9" s="10">
        <v>218.88</v>
      </c>
      <c r="I9" s="10">
        <v>580.9</v>
      </c>
      <c r="J9" s="10">
        <v>876.42</v>
      </c>
    </row>
    <row r="10" spans="1:10" ht="21.75" customHeight="1" x14ac:dyDescent="0.2">
      <c r="A10" s="15" t="s">
        <v>618</v>
      </c>
      <c r="B10" s="16">
        <f t="shared" ref="B10:J10" si="0">SUM(B5:B9)</f>
        <v>10859.369999999999</v>
      </c>
      <c r="C10" s="16">
        <f t="shared" si="0"/>
        <v>279</v>
      </c>
      <c r="D10" s="16">
        <f t="shared" si="0"/>
        <v>1238</v>
      </c>
      <c r="E10" s="16">
        <f t="shared" si="0"/>
        <v>194.07000000000002</v>
      </c>
      <c r="F10" s="16">
        <f t="shared" si="0"/>
        <v>1279.01</v>
      </c>
      <c r="G10" s="16">
        <f t="shared" si="0"/>
        <v>1020.8499999999999</v>
      </c>
      <c r="H10" s="16">
        <f t="shared" si="0"/>
        <v>1679.56</v>
      </c>
      <c r="I10" s="16">
        <f t="shared" si="0"/>
        <v>2567.34</v>
      </c>
      <c r="J10" s="16">
        <f t="shared" si="0"/>
        <v>4312.6099999999997</v>
      </c>
    </row>
    <row r="12" spans="1:10" x14ac:dyDescent="0.2">
      <c r="A12" s="71"/>
      <c r="B12" s="71"/>
      <c r="C12" s="71"/>
      <c r="D12" s="71"/>
      <c r="E12" s="71"/>
      <c r="F12" s="71"/>
      <c r="G12" s="71"/>
      <c r="H12" s="71"/>
      <c r="I12" s="71"/>
      <c r="J12" s="71"/>
    </row>
  </sheetData>
  <autoFilter ref="A4:J9" xr:uid="{00000000-0009-0000-0000-000002000000}"/>
  <mergeCells count="3">
    <mergeCell ref="A1:J1"/>
    <mergeCell ref="A2:J2"/>
    <mergeCell ref="A12:J12"/>
  </mergeCells>
  <conditionalFormatting sqref="B5:B9">
    <cfRule type="dataBar" priority="2">
      <dataBar>
        <cfvo type="min"/>
        <cfvo type="max"/>
        <color rgb="FF00704A"/>
      </dataBar>
      <extLst>
        <ext xmlns:x14="http://schemas.microsoft.com/office/spreadsheetml/2009/9/main" uri="{B025F937-C7B1-47D3-B67F-A62EFF666E3E}">
          <x14:id>{CAD0F361-DBFB-4080-9976-D3FA9D518B57}</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CAD0F361-DBFB-4080-9976-D3FA9D518B57}">
            <x14:dataBar axisPosition="none">
              <x14:cfvo type="min"/>
              <x14:cfvo type="max"/>
              <x14:negativeFillColor rgb="FF00704A"/>
            </x14:dataBar>
          </x14:cfRule>
          <xm:sqref>B5:B9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980B9"/>
  </sheetPr>
  <dimension ref="A1:G23"/>
  <sheetViews>
    <sheetView showGridLines="0" zoomScaleNormal="100" workbookViewId="0">
      <pane ySplit="4" topLeftCell="A25" activePane="bottomLeft" state="frozen"/>
      <selection pane="bottomLeft" activeCell="A57" sqref="A57"/>
    </sheetView>
  </sheetViews>
  <sheetFormatPr baseColWidth="10" defaultColWidth="8.6640625" defaultRowHeight="15" x14ac:dyDescent="0.2"/>
  <cols>
    <col min="1" max="2" width="8" customWidth="1"/>
    <col min="3" max="3" width="12" customWidth="1"/>
    <col min="4" max="4" width="16" customWidth="1"/>
    <col min="5" max="5" width="14" customWidth="1"/>
    <col min="6" max="6" width="13" customWidth="1"/>
    <col min="7" max="7" width="16" customWidth="1"/>
  </cols>
  <sheetData>
    <row r="1" spans="1:7" ht="31.5" customHeight="1" x14ac:dyDescent="0.2">
      <c r="A1" s="69" t="s">
        <v>619</v>
      </c>
      <c r="B1" s="69"/>
      <c r="C1" s="69"/>
      <c r="D1" s="69"/>
      <c r="E1" s="69"/>
      <c r="F1" s="69"/>
      <c r="G1" s="69"/>
    </row>
    <row r="2" spans="1:7" ht="18" customHeight="1" x14ac:dyDescent="0.2">
      <c r="A2" s="70"/>
      <c r="B2" s="70"/>
      <c r="C2" s="70"/>
      <c r="D2" s="70"/>
      <c r="E2" s="70"/>
      <c r="F2" s="70"/>
      <c r="G2" s="70"/>
    </row>
    <row r="4" spans="1:7" ht="24" customHeight="1" x14ac:dyDescent="0.2">
      <c r="A4" s="8" t="s">
        <v>620</v>
      </c>
      <c r="B4" s="8" t="s">
        <v>621</v>
      </c>
      <c r="C4" s="8" t="s">
        <v>622</v>
      </c>
      <c r="D4" s="8" t="s">
        <v>30</v>
      </c>
      <c r="E4" s="8" t="s">
        <v>610</v>
      </c>
      <c r="F4" s="8" t="s">
        <v>611</v>
      </c>
      <c r="G4" s="8" t="s">
        <v>623</v>
      </c>
    </row>
    <row r="5" spans="1:7" x14ac:dyDescent="0.2">
      <c r="A5" s="17">
        <v>2024</v>
      </c>
      <c r="B5" s="17">
        <v>1</v>
      </c>
      <c r="C5" s="17" t="s">
        <v>624</v>
      </c>
      <c r="D5" s="18">
        <v>701.87</v>
      </c>
      <c r="E5" s="19">
        <v>16</v>
      </c>
      <c r="F5" s="19">
        <v>83</v>
      </c>
      <c r="G5" s="17" t="s">
        <v>625</v>
      </c>
    </row>
    <row r="6" spans="1:7" x14ac:dyDescent="0.2">
      <c r="A6" s="20">
        <v>2024</v>
      </c>
      <c r="B6" s="20">
        <v>2</v>
      </c>
      <c r="C6" s="20" t="s">
        <v>626</v>
      </c>
      <c r="D6" s="21">
        <v>449.52</v>
      </c>
      <c r="E6" s="22">
        <v>15</v>
      </c>
      <c r="F6" s="22">
        <v>47</v>
      </c>
      <c r="G6" s="23">
        <f t="shared" ref="G6:G22" si="0">(D6-D5)/D5</f>
        <v>-0.35953951586476129</v>
      </c>
    </row>
    <row r="7" spans="1:7" x14ac:dyDescent="0.2">
      <c r="A7" s="17">
        <v>2024</v>
      </c>
      <c r="B7" s="17">
        <v>3</v>
      </c>
      <c r="C7" s="17" t="s">
        <v>627</v>
      </c>
      <c r="D7" s="18">
        <v>502.63</v>
      </c>
      <c r="E7" s="19">
        <v>16</v>
      </c>
      <c r="F7" s="19">
        <v>79</v>
      </c>
      <c r="G7" s="24">
        <f t="shared" si="0"/>
        <v>0.11814824701904257</v>
      </c>
    </row>
    <row r="8" spans="1:7" x14ac:dyDescent="0.2">
      <c r="A8" s="20">
        <v>2024</v>
      </c>
      <c r="B8" s="20">
        <v>4</v>
      </c>
      <c r="C8" s="20" t="s">
        <v>628</v>
      </c>
      <c r="D8" s="21">
        <v>522.25</v>
      </c>
      <c r="E8" s="22">
        <v>15</v>
      </c>
      <c r="F8" s="22">
        <v>61</v>
      </c>
      <c r="G8" s="23">
        <f t="shared" si="0"/>
        <v>3.9034677595845862E-2</v>
      </c>
    </row>
    <row r="9" spans="1:7" x14ac:dyDescent="0.2">
      <c r="A9" s="17">
        <v>2024</v>
      </c>
      <c r="B9" s="17">
        <v>5</v>
      </c>
      <c r="C9" s="17" t="s">
        <v>629</v>
      </c>
      <c r="D9" s="18">
        <v>714.04</v>
      </c>
      <c r="E9" s="19">
        <v>16</v>
      </c>
      <c r="F9" s="19">
        <v>75</v>
      </c>
      <c r="G9" s="24">
        <f t="shared" si="0"/>
        <v>0.36723791287697455</v>
      </c>
    </row>
    <row r="10" spans="1:7" x14ac:dyDescent="0.2">
      <c r="A10" s="20">
        <v>2024</v>
      </c>
      <c r="B10" s="20">
        <v>6</v>
      </c>
      <c r="C10" s="20" t="s">
        <v>630</v>
      </c>
      <c r="D10" s="21">
        <v>761.21</v>
      </c>
      <c r="E10" s="22">
        <v>15</v>
      </c>
      <c r="F10" s="22">
        <v>80</v>
      </c>
      <c r="G10" s="23">
        <f t="shared" si="0"/>
        <v>6.6060724889362044E-2</v>
      </c>
    </row>
    <row r="11" spans="1:7" x14ac:dyDescent="0.2">
      <c r="A11" s="17">
        <v>2024</v>
      </c>
      <c r="B11" s="17">
        <v>7</v>
      </c>
      <c r="C11" s="17" t="s">
        <v>631</v>
      </c>
      <c r="D11" s="18">
        <v>471.69</v>
      </c>
      <c r="E11" s="19">
        <v>16</v>
      </c>
      <c r="F11" s="19">
        <v>60</v>
      </c>
      <c r="G11" s="24">
        <f t="shared" si="0"/>
        <v>-0.38034182420094326</v>
      </c>
    </row>
    <row r="12" spans="1:7" x14ac:dyDescent="0.2">
      <c r="A12" s="20">
        <v>2024</v>
      </c>
      <c r="B12" s="20">
        <v>8</v>
      </c>
      <c r="C12" s="20" t="s">
        <v>632</v>
      </c>
      <c r="D12" s="21">
        <v>838.77</v>
      </c>
      <c r="E12" s="22">
        <v>16</v>
      </c>
      <c r="F12" s="22">
        <v>88</v>
      </c>
      <c r="G12" s="23">
        <f t="shared" si="0"/>
        <v>0.77822298543534951</v>
      </c>
    </row>
    <row r="13" spans="1:7" x14ac:dyDescent="0.2">
      <c r="A13" s="17">
        <v>2024</v>
      </c>
      <c r="B13" s="17">
        <v>9</v>
      </c>
      <c r="C13" s="17" t="s">
        <v>633</v>
      </c>
      <c r="D13" s="18">
        <v>599.4</v>
      </c>
      <c r="E13" s="19">
        <v>15</v>
      </c>
      <c r="F13" s="19">
        <v>62</v>
      </c>
      <c r="G13" s="24">
        <f t="shared" si="0"/>
        <v>-0.28538216674416111</v>
      </c>
    </row>
    <row r="14" spans="1:7" x14ac:dyDescent="0.2">
      <c r="A14" s="20">
        <v>2024</v>
      </c>
      <c r="B14" s="20">
        <v>10</v>
      </c>
      <c r="C14" s="20" t="s">
        <v>634</v>
      </c>
      <c r="D14" s="21">
        <v>617.58000000000004</v>
      </c>
      <c r="E14" s="22">
        <v>16</v>
      </c>
      <c r="F14" s="22">
        <v>73</v>
      </c>
      <c r="G14" s="23">
        <f t="shared" si="0"/>
        <v>3.0330330330330439E-2</v>
      </c>
    </row>
    <row r="15" spans="1:7" x14ac:dyDescent="0.2">
      <c r="A15" s="17">
        <v>2024</v>
      </c>
      <c r="B15" s="17">
        <v>11</v>
      </c>
      <c r="C15" s="17" t="s">
        <v>635</v>
      </c>
      <c r="D15" s="18">
        <v>626.97</v>
      </c>
      <c r="E15" s="19">
        <v>15</v>
      </c>
      <c r="F15" s="19">
        <v>75</v>
      </c>
      <c r="G15" s="24">
        <f t="shared" si="0"/>
        <v>1.5204507918002503E-2</v>
      </c>
    </row>
    <row r="16" spans="1:7" x14ac:dyDescent="0.2">
      <c r="A16" s="20">
        <v>2024</v>
      </c>
      <c r="B16" s="20">
        <v>12</v>
      </c>
      <c r="C16" s="20" t="s">
        <v>636</v>
      </c>
      <c r="D16" s="21">
        <v>576.07000000000005</v>
      </c>
      <c r="E16" s="22">
        <v>16</v>
      </c>
      <c r="F16" s="22">
        <v>55</v>
      </c>
      <c r="G16" s="23">
        <f t="shared" si="0"/>
        <v>-8.1184107692553034E-2</v>
      </c>
    </row>
    <row r="17" spans="1:7" x14ac:dyDescent="0.2">
      <c r="A17" s="17">
        <v>2025</v>
      </c>
      <c r="B17" s="17">
        <v>1</v>
      </c>
      <c r="C17" s="17" t="s">
        <v>637</v>
      </c>
      <c r="D17" s="18">
        <v>419.3</v>
      </c>
      <c r="E17" s="19">
        <v>16</v>
      </c>
      <c r="F17" s="19">
        <v>54</v>
      </c>
      <c r="G17" s="24">
        <f t="shared" si="0"/>
        <v>-0.27213706667592485</v>
      </c>
    </row>
    <row r="18" spans="1:7" x14ac:dyDescent="0.2">
      <c r="A18" s="20">
        <v>2025</v>
      </c>
      <c r="B18" s="20">
        <v>2</v>
      </c>
      <c r="C18" s="20" t="s">
        <v>638</v>
      </c>
      <c r="D18" s="21">
        <v>588.44000000000005</v>
      </c>
      <c r="E18" s="22">
        <v>14</v>
      </c>
      <c r="F18" s="22">
        <v>70</v>
      </c>
      <c r="G18" s="23">
        <f t="shared" si="0"/>
        <v>0.40338659670880045</v>
      </c>
    </row>
    <row r="19" spans="1:7" x14ac:dyDescent="0.2">
      <c r="A19" s="17">
        <v>2025</v>
      </c>
      <c r="B19" s="17">
        <v>3</v>
      </c>
      <c r="C19" s="17" t="s">
        <v>639</v>
      </c>
      <c r="D19" s="18">
        <v>713.24</v>
      </c>
      <c r="E19" s="19">
        <v>16</v>
      </c>
      <c r="F19" s="19">
        <v>65</v>
      </c>
      <c r="G19" s="24">
        <f t="shared" si="0"/>
        <v>0.21208619400448633</v>
      </c>
    </row>
    <row r="20" spans="1:7" x14ac:dyDescent="0.2">
      <c r="A20" s="20">
        <v>2025</v>
      </c>
      <c r="B20" s="20">
        <v>4</v>
      </c>
      <c r="C20" s="20" t="s">
        <v>640</v>
      </c>
      <c r="D20" s="21">
        <v>622.09</v>
      </c>
      <c r="E20" s="22">
        <v>15</v>
      </c>
      <c r="F20" s="22">
        <v>70</v>
      </c>
      <c r="G20" s="23">
        <f t="shared" si="0"/>
        <v>-0.12779709494700237</v>
      </c>
    </row>
    <row r="21" spans="1:7" x14ac:dyDescent="0.2">
      <c r="A21" s="17">
        <v>2025</v>
      </c>
      <c r="B21" s="17">
        <v>5</v>
      </c>
      <c r="C21" s="17" t="s">
        <v>641</v>
      </c>
      <c r="D21" s="18">
        <v>503.9</v>
      </c>
      <c r="E21" s="19">
        <v>16</v>
      </c>
      <c r="F21" s="19">
        <v>61</v>
      </c>
      <c r="G21" s="24">
        <f t="shared" si="0"/>
        <v>-0.18998858686042219</v>
      </c>
    </row>
    <row r="22" spans="1:7" x14ac:dyDescent="0.2">
      <c r="A22" s="20">
        <v>2025</v>
      </c>
      <c r="B22" s="20">
        <v>6</v>
      </c>
      <c r="C22" s="20" t="s">
        <v>642</v>
      </c>
      <c r="D22" s="21">
        <v>630.4</v>
      </c>
      <c r="E22" s="22">
        <v>15</v>
      </c>
      <c r="F22" s="22">
        <v>80</v>
      </c>
      <c r="G22" s="23">
        <f t="shared" si="0"/>
        <v>0.25104187338757689</v>
      </c>
    </row>
    <row r="23" spans="1:7" ht="15" customHeight="1" x14ac:dyDescent="0.2">
      <c r="A23" s="72" t="s">
        <v>618</v>
      </c>
      <c r="B23" s="72"/>
      <c r="C23" s="72"/>
      <c r="D23" s="16">
        <f>SUM(D5:D22)</f>
        <v>10859.369999999999</v>
      </c>
      <c r="E23" s="25">
        <f>SUM(E5:E22)</f>
        <v>279</v>
      </c>
      <c r="F23" s="25">
        <f>SUM(F5:F22)</f>
        <v>1238</v>
      </c>
      <c r="G23" s="26"/>
    </row>
  </sheetData>
  <autoFilter ref="A4:G22" xr:uid="{00000000-0009-0000-0000-000003000000}"/>
  <mergeCells count="3">
    <mergeCell ref="A1:G1"/>
    <mergeCell ref="A2:G2"/>
    <mergeCell ref="A23:C23"/>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 Dashboard</vt:lpstr>
      <vt:lpstr>PIVOT TABLES</vt:lpstr>
      <vt:lpstr>Sales Transactions</vt:lpstr>
      <vt:lpstr>Region-Wise Report</vt:lpstr>
      <vt:lpstr>Date-Wise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Shubham Kumar</cp:lastModifiedBy>
  <cp:revision>1</cp:revision>
  <dcterms:created xsi:type="dcterms:W3CDTF">2026-04-10T10:16:12Z</dcterms:created>
  <dcterms:modified xsi:type="dcterms:W3CDTF">2026-04-10T12:29:47Z</dcterms:modified>
  <dc:language>en-US</dc:language>
</cp:coreProperties>
</file>